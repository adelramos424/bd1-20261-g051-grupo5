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 1\Documents\TIA 4\TIA-04\"/>
    </mc:Choice>
  </mc:AlternateContent>
  <xr:revisionPtr revIDLastSave="0" documentId="13_ncr:1_{C4121631-4CC6-4CE6-B38A-CEC8837BA7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agrama ER (corregido)" sheetId="1" r:id="rId1"/>
    <sheet name="Tipos de Dato" sheetId="2" r:id="rId2"/>
    <sheet name="Invetario de Tablas" sheetId="3" r:id="rId3"/>
    <sheet name="Diccionario Datos - PostgreSQL" sheetId="4" r:id="rId4"/>
    <sheet name="Diccionario Datos - MySQL" sheetId="8" r:id="rId5"/>
    <sheet name="Diccionario Datos - MS SQL Serv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2sI7VyD/87rVnxfNBKdA+Qa0gWKWMLDbr9VAeSj6kTk="/>
    </ext>
  </extLst>
</workbook>
</file>

<file path=xl/calcChain.xml><?xml version="1.0" encoding="utf-8"?>
<calcChain xmlns="http://schemas.openxmlformats.org/spreadsheetml/2006/main">
  <c r="K200" i="9" l="1"/>
  <c r="C200" i="9"/>
  <c r="K195" i="9"/>
  <c r="C195" i="9"/>
  <c r="K190" i="9"/>
  <c r="C190" i="9"/>
  <c r="K185" i="9"/>
  <c r="C185" i="9"/>
  <c r="K180" i="9"/>
  <c r="C180" i="9"/>
  <c r="K173" i="9"/>
  <c r="C173" i="9"/>
  <c r="K166" i="9"/>
  <c r="C166" i="9"/>
  <c r="K158" i="9"/>
  <c r="C158" i="9"/>
  <c r="K150" i="9"/>
  <c r="C150" i="9"/>
  <c r="K142" i="9"/>
  <c r="C142" i="9"/>
  <c r="K134" i="9"/>
  <c r="C134" i="9"/>
  <c r="K127" i="9"/>
  <c r="C127" i="9"/>
  <c r="K120" i="9"/>
  <c r="C120" i="9"/>
  <c r="K112" i="9"/>
  <c r="C112" i="9"/>
  <c r="K104" i="9"/>
  <c r="C104" i="9"/>
  <c r="K96" i="9"/>
  <c r="C96" i="9"/>
  <c r="K87" i="9"/>
  <c r="C87" i="9"/>
  <c r="K79" i="9"/>
  <c r="C79" i="9"/>
  <c r="K71" i="9"/>
  <c r="C71" i="9"/>
  <c r="K63" i="9"/>
  <c r="C63" i="9"/>
  <c r="K54" i="9"/>
  <c r="C54" i="9"/>
  <c r="K46" i="9"/>
  <c r="C46" i="9"/>
  <c r="K41" i="9"/>
  <c r="C41" i="9"/>
  <c r="K35" i="9"/>
  <c r="C35" i="9"/>
  <c r="K29" i="9"/>
  <c r="C29" i="9"/>
  <c r="K23" i="9"/>
  <c r="C23" i="9"/>
  <c r="K17" i="9"/>
  <c r="C17" i="9"/>
  <c r="K11" i="9"/>
  <c r="C11" i="9"/>
  <c r="K3" i="9"/>
  <c r="C3" i="9"/>
  <c r="A3" i="9"/>
  <c r="K200" i="4"/>
  <c r="C200" i="4"/>
  <c r="K195" i="4"/>
  <c r="C195" i="4"/>
  <c r="K190" i="4"/>
  <c r="C190" i="4"/>
  <c r="K185" i="4"/>
  <c r="C185" i="4"/>
  <c r="K180" i="4"/>
  <c r="C180" i="4"/>
  <c r="K173" i="4"/>
  <c r="C173" i="4"/>
  <c r="K166" i="4"/>
  <c r="C166" i="4"/>
  <c r="K158" i="4"/>
  <c r="C158" i="4"/>
  <c r="K150" i="4"/>
  <c r="C150" i="4"/>
  <c r="K142" i="4"/>
  <c r="C142" i="4"/>
  <c r="K134" i="4"/>
  <c r="C134" i="4"/>
  <c r="K127" i="4"/>
  <c r="C127" i="4"/>
  <c r="K120" i="4"/>
  <c r="C120" i="4"/>
  <c r="K112" i="4"/>
  <c r="C112" i="4"/>
  <c r="K104" i="4"/>
  <c r="C104" i="4"/>
  <c r="K96" i="4"/>
  <c r="C96" i="4"/>
  <c r="K87" i="4"/>
  <c r="C87" i="4"/>
  <c r="K79" i="4"/>
  <c r="C79" i="4"/>
  <c r="K71" i="4"/>
  <c r="C71" i="4"/>
  <c r="K63" i="4"/>
  <c r="C63" i="4"/>
  <c r="K54" i="4"/>
  <c r="C54" i="4"/>
  <c r="K46" i="4"/>
  <c r="C46" i="4"/>
  <c r="K41" i="4"/>
  <c r="C41" i="4"/>
  <c r="K35" i="4"/>
  <c r="C35" i="4"/>
  <c r="K29" i="4"/>
  <c r="C29" i="4"/>
  <c r="K23" i="4"/>
  <c r="C23" i="4"/>
  <c r="K17" i="4"/>
  <c r="C17" i="4"/>
  <c r="K11" i="4"/>
  <c r="C11" i="4"/>
  <c r="K3" i="4"/>
  <c r="C3" i="4"/>
  <c r="A3" i="4"/>
  <c r="K200" i="8"/>
  <c r="C200" i="8"/>
  <c r="K195" i="8"/>
  <c r="C195" i="8"/>
  <c r="K190" i="8"/>
  <c r="C190" i="8"/>
  <c r="K185" i="8"/>
  <c r="C185" i="8"/>
  <c r="K180" i="8"/>
  <c r="C180" i="8"/>
  <c r="K173" i="8"/>
  <c r="C173" i="8"/>
  <c r="K166" i="8"/>
  <c r="C166" i="8"/>
  <c r="K158" i="8"/>
  <c r="C158" i="8"/>
  <c r="K150" i="8"/>
  <c r="C150" i="8"/>
  <c r="K142" i="8"/>
  <c r="C142" i="8"/>
  <c r="K134" i="8"/>
  <c r="C134" i="8"/>
  <c r="K127" i="8"/>
  <c r="C127" i="8"/>
  <c r="K120" i="8"/>
  <c r="C120" i="8"/>
  <c r="K112" i="8"/>
  <c r="C112" i="8"/>
  <c r="K104" i="8"/>
  <c r="C104" i="8"/>
  <c r="K96" i="8"/>
  <c r="C96" i="8"/>
  <c r="K87" i="8"/>
  <c r="C87" i="8"/>
  <c r="K79" i="8"/>
  <c r="C79" i="8"/>
  <c r="K71" i="8"/>
  <c r="C71" i="8"/>
  <c r="K63" i="8"/>
  <c r="C63" i="8"/>
  <c r="K54" i="8"/>
  <c r="C54" i="8"/>
  <c r="K46" i="8"/>
  <c r="C46" i="8"/>
  <c r="K41" i="8"/>
  <c r="C41" i="8"/>
  <c r="K35" i="8"/>
  <c r="C35" i="8"/>
  <c r="K29" i="8"/>
  <c r="C29" i="8"/>
  <c r="K23" i="8"/>
  <c r="C23" i="8"/>
  <c r="K17" i="8"/>
  <c r="C17" i="8"/>
  <c r="K11" i="8"/>
  <c r="C11" i="8"/>
  <c r="K3" i="8"/>
  <c r="C3" i="8"/>
  <c r="A3" i="8"/>
  <c r="A5" i="3"/>
  <c r="A11" i="8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11" i="9" l="1"/>
  <c r="A11" i="4"/>
  <c r="A6" i="3"/>
  <c r="A7" i="3" l="1"/>
  <c r="A17" i="9"/>
  <c r="A17" i="8"/>
  <c r="A17" i="4"/>
  <c r="A8" i="3" l="1"/>
  <c r="A23" i="8"/>
  <c r="A23" i="4"/>
  <c r="A23" i="9"/>
  <c r="A9" i="3" l="1"/>
  <c r="A29" i="8"/>
  <c r="A29" i="4"/>
  <c r="A29" i="9"/>
  <c r="A10" i="3" l="1"/>
  <c r="A35" i="4"/>
  <c r="A35" i="8"/>
  <c r="A35" i="9"/>
  <c r="A11" i="3" l="1"/>
  <c r="A41" i="8"/>
  <c r="A41" i="4"/>
  <c r="A41" i="9"/>
  <c r="A12" i="3" l="1"/>
  <c r="A46" i="4"/>
  <c r="A46" i="9"/>
  <c r="A46" i="8"/>
  <c r="A13" i="3" l="1"/>
  <c r="A54" i="8"/>
  <c r="A54" i="4"/>
  <c r="A54" i="9"/>
  <c r="A14" i="3" l="1"/>
  <c r="A63" i="8"/>
  <c r="A63" i="4"/>
  <c r="A63" i="9"/>
  <c r="A15" i="3" l="1"/>
  <c r="A71" i="9"/>
  <c r="A71" i="8"/>
  <c r="A71" i="4"/>
  <c r="A16" i="3" l="1"/>
  <c r="A79" i="8"/>
  <c r="A79" i="4"/>
  <c r="A79" i="9"/>
  <c r="A17" i="3" l="1"/>
  <c r="A87" i="8"/>
  <c r="A87" i="4"/>
  <c r="A87" i="9"/>
  <c r="A18" i="3" l="1"/>
  <c r="A96" i="4"/>
  <c r="A96" i="9"/>
  <c r="A96" i="8"/>
  <c r="A19" i="3" l="1"/>
  <c r="A104" i="8"/>
  <c r="A104" i="4"/>
  <c r="A104" i="9"/>
  <c r="A20" i="3" l="1"/>
  <c r="A112" i="4"/>
  <c r="A112" i="9"/>
  <c r="A112" i="8"/>
  <c r="A21" i="3" l="1"/>
  <c r="A120" i="9"/>
  <c r="A120" i="8"/>
  <c r="A120" i="4"/>
  <c r="A22" i="3" l="1"/>
  <c r="A127" i="8"/>
  <c r="A127" i="4"/>
  <c r="A127" i="9"/>
  <c r="A23" i="3" l="1"/>
  <c r="A134" i="9"/>
  <c r="A134" i="4"/>
  <c r="A134" i="8"/>
  <c r="A24" i="3" l="1"/>
  <c r="A142" i="8"/>
  <c r="A142" i="4"/>
  <c r="A142" i="9"/>
  <c r="A25" i="3" l="1"/>
  <c r="A150" i="8"/>
  <c r="A150" i="4"/>
  <c r="A150" i="9"/>
  <c r="A26" i="3" l="1"/>
  <c r="A158" i="4"/>
  <c r="A158" i="9"/>
  <c r="A158" i="8"/>
  <c r="A27" i="3" l="1"/>
  <c r="A166" i="8"/>
  <c r="A166" i="4"/>
  <c r="A166" i="9"/>
  <c r="A28" i="3" l="1"/>
  <c r="A173" i="4"/>
  <c r="A173" i="9"/>
  <c r="A173" i="8"/>
  <c r="A29" i="3" l="1"/>
  <c r="A180" i="9"/>
  <c r="A180" i="8"/>
  <c r="A180" i="4"/>
  <c r="A30" i="3" l="1"/>
  <c r="A185" i="8"/>
  <c r="A185" i="4"/>
  <c r="A185" i="9"/>
  <c r="A31" i="3" l="1"/>
  <c r="A190" i="9"/>
  <c r="A190" i="4"/>
  <c r="A190" i="8"/>
  <c r="A32" i="3" l="1"/>
  <c r="A195" i="8"/>
  <c r="A195" i="4"/>
  <c r="A195" i="9"/>
  <c r="A200" i="8" l="1"/>
  <c r="A200" i="4"/>
  <c r="A200" i="9"/>
</calcChain>
</file>

<file path=xl/sharedStrings.xml><?xml version="1.0" encoding="utf-8"?>
<sst xmlns="http://schemas.openxmlformats.org/spreadsheetml/2006/main" count="2995" uniqueCount="326">
  <si>
    <t>Tipos de Datos - Tabla Comparativa</t>
  </si>
  <si>
    <t>#</t>
  </si>
  <si>
    <t>Tipo de Dato Genérico</t>
  </si>
  <si>
    <t>Descripción</t>
  </si>
  <si>
    <t>En PosgreSQL</t>
  </si>
  <si>
    <t>En MySQL</t>
  </si>
  <si>
    <t>En MS SQL Server</t>
  </si>
  <si>
    <t xml:space="preserve">Versión: </t>
  </si>
  <si>
    <t>AUTOINCREMENTABLE</t>
  </si>
  <si>
    <t>UUID</t>
  </si>
  <si>
    <t>ENTERO</t>
  </si>
  <si>
    <t>DECIMAL</t>
  </si>
  <si>
    <t>LÓGICO</t>
  </si>
  <si>
    <t>TEXTO</t>
  </si>
  <si>
    <t>CARACTER</t>
  </si>
  <si>
    <t>FECHA</t>
  </si>
  <si>
    <t>FECHA_HORA</t>
  </si>
  <si>
    <t>HORA</t>
  </si>
  <si>
    <t>URL</t>
  </si>
  <si>
    <t>ENUM</t>
  </si>
  <si>
    <t xml:space="preserve">TEXTO_CORTO </t>
  </si>
  <si>
    <t>BINARIO</t>
  </si>
  <si>
    <t>JSON</t>
  </si>
  <si>
    <t>JSONB</t>
  </si>
  <si>
    <t>IMAGEN</t>
  </si>
  <si>
    <t>AUDIO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</si>
  <si>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</si>
  <si>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</si>
  <si>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</si>
  <si>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</si>
  <si>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>Observaciones</t>
  </si>
  <si>
    <t>PostgreSQL - Tablas en Detalle</t>
  </si>
  <si>
    <t>Versión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</si>
  <si>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</si>
  <si>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</si>
  <si>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</si>
  <si>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</si>
  <si>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</si>
  <si>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</si>
  <si>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</si>
  <si>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</si>
  <si>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</si>
  <si>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MySQL - Tablas en Detalle</t>
  </si>
  <si>
    <t>Tipo Dato - MySQL</t>
  </si>
  <si>
    <t>MS SQL Server - Tablas en Detalle</t>
  </si>
  <si>
    <t>Tipo Dato - MS SQL Server</t>
  </si>
  <si>
    <t>SERIAL</t>
  </si>
  <si>
    <t>AUTO_INCREMENT</t>
  </si>
  <si>
    <t>IDENTITY(1,1)</t>
  </si>
  <si>
    <t>Se genera automaticamente</t>
  </si>
  <si>
    <t>Identificador unico universal</t>
  </si>
  <si>
    <t>CHAR(36)</t>
  </si>
  <si>
    <t>UNIQUEIDENTIFIER</t>
  </si>
  <si>
    <t>Numero sin parte decimal</t>
  </si>
  <si>
    <t>INTEGER</t>
  </si>
  <si>
    <t>INT</t>
  </si>
  <si>
    <t>Numero con parte decimal</t>
  </si>
  <si>
    <t>DECIMAL(p,s)</t>
  </si>
  <si>
    <t>Verdadero o falso</t>
  </si>
  <si>
    <t>BOOLEAN</t>
  </si>
  <si>
    <t>BIT</t>
  </si>
  <si>
    <t>Texto largo</t>
  </si>
  <si>
    <t>TEXT</t>
  </si>
  <si>
    <t>Texto corto fijo</t>
  </si>
  <si>
    <t>CHAR(n)</t>
  </si>
  <si>
    <t>Fecha</t>
  </si>
  <si>
    <t>DATE</t>
  </si>
  <si>
    <t>Fecha y hora</t>
  </si>
  <si>
    <t>TIMESTAMP</t>
  </si>
  <si>
    <t>Solo hora</t>
  </si>
  <si>
    <t>TIME</t>
  </si>
  <si>
    <t>Dirrecion web</t>
  </si>
  <si>
    <t>VARCHAR(255)</t>
  </si>
  <si>
    <t>Lista de valores</t>
  </si>
  <si>
    <t xml:space="preserve">Texto corto   </t>
  </si>
  <si>
    <t>Datos b inarios</t>
  </si>
  <si>
    <t>Datos Json</t>
  </si>
  <si>
    <t>Json optimizado</t>
  </si>
  <si>
    <t>Imagen</t>
  </si>
  <si>
    <t>Audio</t>
  </si>
  <si>
    <t>VARCHAR(n)</t>
  </si>
  <si>
    <t>BYTEA</t>
  </si>
  <si>
    <t>BLOB</t>
  </si>
  <si>
    <t>VARBYNARY(MAX)</t>
  </si>
  <si>
    <t>NVARCHAR(MAX)</t>
  </si>
  <si>
    <t>no tiene</t>
  </si>
  <si>
    <t>CHECK</t>
  </si>
  <si>
    <t>apicultor</t>
  </si>
  <si>
    <t>apiario</t>
  </si>
  <si>
    <t>producto</t>
  </si>
  <si>
    <t>cosecha</t>
  </si>
  <si>
    <t>pedido</t>
  </si>
  <si>
    <t>detalle_pedido</t>
  </si>
  <si>
    <t>sensor</t>
  </si>
  <si>
    <t>medicion_ambiental</t>
  </si>
  <si>
    <t>alerta</t>
  </si>
  <si>
    <t>entidad_financiera</t>
  </si>
  <si>
    <t>entidad_reguladora</t>
  </si>
  <si>
    <t>cooperativa</t>
  </si>
  <si>
    <t>certificacion</t>
  </si>
  <si>
    <t>consumidor</t>
  </si>
  <si>
    <t>registro_clinico</t>
  </si>
  <si>
    <t>intercambio</t>
  </si>
  <si>
    <t>detalle_intercambio</t>
  </si>
  <si>
    <t>mercado</t>
  </si>
  <si>
    <t>gestion</t>
  </si>
  <si>
    <t>empleo</t>
  </si>
  <si>
    <t>investigacion</t>
  </si>
  <si>
    <t>evento</t>
  </si>
  <si>
    <t>comunidad</t>
  </si>
  <si>
    <t>lote</t>
  </si>
  <si>
    <t>apicultor_intercambio</t>
  </si>
  <si>
    <t>apicultor_comunidad</t>
  </si>
  <si>
    <t>evento_apicultor</t>
  </si>
  <si>
    <t>cooperativa_financiera</t>
  </si>
  <si>
    <t>lote_producto</t>
  </si>
  <si>
    <t>Personas que producen productos apícolas.</t>
  </si>
  <si>
    <t>Lugar donde el apicultor mantiene su producción.</t>
  </si>
  <si>
    <t>Productos derivados de la apicultura.</t>
  </si>
  <si>
    <t>Temporada o fecha donde se obtiene la producción.</t>
  </si>
  <si>
    <t>Solicitud realizada por un consumidor.</t>
  </si>
  <si>
    <t>Información específica de cada producto solicitado.</t>
  </si>
  <si>
    <t>Sensores que registran variables ambientales.</t>
  </si>
  <si>
    <t>Registro de datos ambientales.</t>
  </si>
  <si>
    <t>Notificación generada por el sistema.</t>
  </si>
  <si>
    <t>Organización que puede brindar apoyo económico o financiamiento a proyectos o investigaciones del sector apícola</t>
  </si>
  <si>
    <t>Entidad encargada de supervisar el cumplimiento de normas y emitir certificaciones relacionadas con la producción apícola</t>
  </si>
  <si>
    <t>Organizacion que apoya procesos productivos</t>
  </si>
  <si>
    <t>Certificacion reguladora que cumple con normas puestas por la entidad reguladora</t>
  </si>
  <si>
    <t>Persona que consume los productos apicola</t>
  </si>
  <si>
    <t>Historial sanitario de un apiario</t>
  </si>
  <si>
    <t>Intercambio de bienes acordado por dos apicultores</t>
  </si>
  <si>
    <t>Detalle del intercambio de vienes que se realizo</t>
  </si>
  <si>
    <t>Mercado o lugar fisico/virtual donde se hacen las compra y ventas de los productos apicolas</t>
  </si>
  <si>
    <t>Registro administrativo</t>
  </si>
  <si>
    <t>Publicación de oportunidades laborales</t>
  </si>
  <si>
    <t>Documento o publicación que contiene información técnica o científica</t>
  </si>
  <si>
    <t>Actividad programada como talleres, seminarios o encuentros relacionados con el sector apícola</t>
  </si>
  <si>
    <t>Grupo de apicultores que se organizan dentro de la plataforma para compartir conocimiento, experiencias o apoyo</t>
  </si>
  <si>
    <t>Conjunto específico de producto obtenido a partir de una cosecha</t>
  </si>
  <si>
    <t>Tabla formada por la relacion M:N entre apicultor y intercambio</t>
  </si>
  <si>
    <t>Tabla intermedia formada por la cardinalidad M:N entre apicultor y comunidad</t>
  </si>
  <si>
    <t>Tabla intermedia formada por la cardinalidad M:N entre evento y apicultor</t>
  </si>
  <si>
    <t>Tabla intermedia formada por la cardinalidad M:N entre cooperativa y entidad financiera</t>
  </si>
  <si>
    <t>Tabla intermedia formada por la cardinalidad M:N entre lote y producto</t>
  </si>
  <si>
    <t>id_apicultor</t>
  </si>
  <si>
    <t>nombre</t>
  </si>
  <si>
    <t>descripcion</t>
  </si>
  <si>
    <t>Identificador del apicultor</t>
  </si>
  <si>
    <t>Nombre del apicultor</t>
  </si>
  <si>
    <t>Persona que produce productos apicolas</t>
  </si>
  <si>
    <t>telefono</t>
  </si>
  <si>
    <t>correo</t>
  </si>
  <si>
    <t>telefono de la entidad</t>
  </si>
  <si>
    <t>correo de la entidad</t>
  </si>
  <si>
    <t>id_apiario</t>
  </si>
  <si>
    <t>Identificador del apiario</t>
  </si>
  <si>
    <t>Apicultor dueño del apiario</t>
  </si>
  <si>
    <t>Lugar del apiario</t>
  </si>
  <si>
    <t>id_producto</t>
  </si>
  <si>
    <t>tipo_producto</t>
  </si>
  <si>
    <t>Productos derivados de la apicultura</t>
  </si>
  <si>
    <t>Tipo de producto apicola</t>
  </si>
  <si>
    <t>id_cosecha</t>
  </si>
  <si>
    <t>fecha</t>
  </si>
  <si>
    <t>Fecha de la cosecha</t>
  </si>
  <si>
    <t>Apiario donde se realiza la cosecha</t>
  </si>
  <si>
    <t>Identificador de la cosecha</t>
  </si>
  <si>
    <t>id_pedido</t>
  </si>
  <si>
    <t>Identificador del pedido</t>
  </si>
  <si>
    <t>id_consumidor</t>
  </si>
  <si>
    <t>Consumidor que realiza el pedido</t>
  </si>
  <si>
    <t>Fecha en la que se realiza el pedido</t>
  </si>
  <si>
    <t>Pedido al que pertenece el producto</t>
  </si>
  <si>
    <t>id_lote</t>
  </si>
  <si>
    <t>Lote del producto solicitado</t>
  </si>
  <si>
    <t>cantidad</t>
  </si>
  <si>
    <t>Cantidad solicitada del producto</t>
  </si>
  <si>
    <t>id_sensor</t>
  </si>
  <si>
    <t>Identificador del sensor</t>
  </si>
  <si>
    <t>tipo_sensor</t>
  </si>
  <si>
    <t>Tipo de sensor utilizado</t>
  </si>
  <si>
    <t>id_medicion</t>
  </si>
  <si>
    <t>Identificador de la medición</t>
  </si>
  <si>
    <t>Sensor que registra los datos</t>
  </si>
  <si>
    <t>temperatura</t>
  </si>
  <si>
    <t>Temperatura registrada</t>
  </si>
  <si>
    <t>humedad</t>
  </si>
  <si>
    <t>Humedad registrada</t>
  </si>
  <si>
    <t>fecha_hora</t>
  </si>
  <si>
    <t>Fecha y hora de la medición</t>
  </si>
  <si>
    <t>id_alerta</t>
  </si>
  <si>
    <t>Identificador de la alerta</t>
  </si>
  <si>
    <t>Medición que generó la alerta</t>
  </si>
  <si>
    <t>tipo_alerta</t>
  </si>
  <si>
    <t>Tipo de alerta generada</t>
  </si>
  <si>
    <t>mensaje</t>
  </si>
  <si>
    <t>mensaje generado</t>
  </si>
  <si>
    <t>Fecha generada</t>
  </si>
  <si>
    <t>estado</t>
  </si>
  <si>
    <t>Estado</t>
  </si>
  <si>
    <t>id_entidad_financiera</t>
  </si>
  <si>
    <t>Identificador de la entidad</t>
  </si>
  <si>
    <t>Nombre de la entidad financiera</t>
  </si>
  <si>
    <t>tipo_entidad</t>
  </si>
  <si>
    <t>id_entidad_regulatoria</t>
  </si>
  <si>
    <t>Entidades que supervisan el cumplimiento de normas en el sector apícola</t>
  </si>
  <si>
    <t>Nombre de la entidad regulatoria</t>
  </si>
  <si>
    <t>pais</t>
  </si>
  <si>
    <t>Pais de la entidad</t>
  </si>
  <si>
    <t>Telefono de la entidad</t>
  </si>
  <si>
    <t>Correo de la entidad</t>
  </si>
  <si>
    <t>id_cooperativa</t>
  </si>
  <si>
    <t>Cooperativas que agrupan apicultores para apoyo y comercialización</t>
  </si>
  <si>
    <t>Nombre de la cooperativa</t>
  </si>
  <si>
    <t>direccion</t>
  </si>
  <si>
    <t>Direccion de la entidad</t>
  </si>
  <si>
    <t>Numero de la cooperativa</t>
  </si>
  <si>
    <t>fecha_creacion</t>
  </si>
  <si>
    <t>Fecha de creacion</t>
  </si>
  <si>
    <t>id_certificacion</t>
  </si>
  <si>
    <t>Identificador de la cerficiacion</t>
  </si>
  <si>
    <t>Descripcion detallada de cada certificacion</t>
  </si>
  <si>
    <t>fecha_emision</t>
  </si>
  <si>
    <t>Fecha de emision</t>
  </si>
  <si>
    <t>fecha_vencimiento</t>
  </si>
  <si>
    <t>Fecha de vencimiento</t>
  </si>
  <si>
    <t>tipo_certificacion</t>
  </si>
  <si>
    <t>Tipo</t>
  </si>
  <si>
    <t>NO</t>
  </si>
  <si>
    <t>✔</t>
  </si>
  <si>
    <t>SI</t>
  </si>
  <si>
    <t>Identificador de las personas que compran productos apícolas en la plataforma</t>
  </si>
  <si>
    <t>Correo del consumidor</t>
  </si>
  <si>
    <t>Telefono del consumidor</t>
  </si>
  <si>
    <t>Direccion del consumidor</t>
  </si>
  <si>
    <t>id_registro</t>
  </si>
  <si>
    <t>Identificador único del registro clínico</t>
  </si>
  <si>
    <t>Apiario al que pertenece el registro sanitario</t>
  </si>
  <si>
    <t>Descripción del estado sanitario o tratamiento</t>
  </si>
  <si>
    <t>fecha_registro</t>
  </si>
  <si>
    <t>Fecha de registro</t>
  </si>
  <si>
    <t>tratamiento</t>
  </si>
  <si>
    <t>Tratamiento</t>
  </si>
  <si>
    <t>id_intercambio</t>
  </si>
  <si>
    <t>Identificador del intercambio</t>
  </si>
  <si>
    <t>Fecha en que se realiza el intercambio</t>
  </si>
  <si>
    <t>Detalle del intercambio realizado</t>
  </si>
  <si>
    <t>estado_intercambio</t>
  </si>
  <si>
    <t>Estado del intercambio</t>
  </si>
  <si>
    <t>lugar</t>
  </si>
  <si>
    <t>Lugar del intercambio</t>
  </si>
  <si>
    <t>id_detalle_intercambio</t>
  </si>
  <si>
    <t>Identificador del detalle de intercambio</t>
  </si>
  <si>
    <t>Intercambio al que pertenece el registro</t>
  </si>
  <si>
    <t>Producto intercambiado</t>
  </si>
  <si>
    <t>Cantidad del producto intercambiado</t>
  </si>
  <si>
    <t>id_mercado</t>
  </si>
  <si>
    <t>Identificador del mercado</t>
  </si>
  <si>
    <t>Nombre del mercado apícola</t>
  </si>
  <si>
    <t>Información sobre el mercado</t>
  </si>
  <si>
    <t>tipo_mercado</t>
  </si>
  <si>
    <t>Tipo mercado si es fisico o virtual</t>
  </si>
  <si>
    <t>id_gestion</t>
  </si>
  <si>
    <t>Identificador de la gestion</t>
  </si>
  <si>
    <t>Apicultor que realiza la gestion</t>
  </si>
  <si>
    <t>Detalle de la gestion</t>
  </si>
  <si>
    <t>Fecha de la gestion</t>
  </si>
  <si>
    <t>estado_gestion</t>
  </si>
  <si>
    <t>id_empleo</t>
  </si>
  <si>
    <t>Identificador de la oferta</t>
  </si>
  <si>
    <t>Apicultor</t>
  </si>
  <si>
    <t>titulo</t>
  </si>
  <si>
    <t>Titulo del empleo</t>
  </si>
  <si>
    <t>Descripcion del trabajo</t>
  </si>
  <si>
    <t>fecha_publicacion</t>
  </si>
  <si>
    <t>fecha de publicacion</t>
  </si>
  <si>
    <t>id_investigacion</t>
  </si>
  <si>
    <t>Identificador de la investigacion</t>
  </si>
  <si>
    <t>Titulo de la investigacion</t>
  </si>
  <si>
    <t>Descripcion del estudio</t>
  </si>
  <si>
    <t>Fecha de publicacion</t>
  </si>
  <si>
    <t>id_evento</t>
  </si>
  <si>
    <t>Identificador del evento</t>
  </si>
  <si>
    <t>Investigacion relacionada</t>
  </si>
  <si>
    <t>Nombre del evento</t>
  </si>
  <si>
    <t>Fecha del evento</t>
  </si>
  <si>
    <t>ubicacion</t>
  </si>
  <si>
    <t>Lugar donde se realiza</t>
  </si>
  <si>
    <t>id_comunidad</t>
  </si>
  <si>
    <t>Identificador de la comunidad</t>
  </si>
  <si>
    <t>Nombre de la comunidad</t>
  </si>
  <si>
    <t>Descripción de la comunidad</t>
  </si>
  <si>
    <t>Identificacion del lote</t>
  </si>
  <si>
    <t>Cosecha de donde proviene el lote</t>
  </si>
  <si>
    <t>Cantidad obtenida</t>
  </si>
  <si>
    <t>No</t>
  </si>
  <si>
    <t>fecha_produccion</t>
  </si>
  <si>
    <t>Fecha de produccion del lote</t>
  </si>
  <si>
    <t>Apicultor participante en el intercambio</t>
  </si>
  <si>
    <t>Intercambio realizado</t>
  </si>
  <si>
    <t>Comunidad a la que pertenece</t>
  </si>
  <si>
    <t>Evento en el que participa</t>
  </si>
  <si>
    <t>Apicultor participante</t>
  </si>
  <si>
    <t>Cooperativa que recibe apoyo</t>
  </si>
  <si>
    <t>Entidad que brinda apoyo financio</t>
  </si>
  <si>
    <t>lote generado a partir de una cosecha</t>
  </si>
  <si>
    <t>producto obtenido del lote</t>
  </si>
  <si>
    <t>DATETIME</t>
  </si>
  <si>
    <t>INT AUTO_INCREMENT</t>
  </si>
  <si>
    <t>VARCHAR</t>
  </si>
  <si>
    <t>('temperatura_alta','temperatura_baja','humedad_alta','humedad_baja')</t>
  </si>
  <si>
    <t>('activa','resuelta')</t>
  </si>
  <si>
    <t>5,2</t>
  </si>
  <si>
    <t>('pendiente','completado','cancelado')</t>
  </si>
  <si>
    <t>Apicultor que pertenece a la comunidad</t>
  </si>
  <si>
    <t>intercambio realizado</t>
  </si>
  <si>
    <t>Descripcion del producto</t>
  </si>
  <si>
    <t>Nombre del comprador</t>
  </si>
  <si>
    <t>Entidad que financia</t>
  </si>
  <si>
    <t>intercambio al que pertenece el registro</t>
  </si>
  <si>
    <t>Producto intercambio</t>
  </si>
  <si>
    <t>Cantidad del producto intercambio</t>
  </si>
  <si>
    <t>INT IDENTITY</t>
  </si>
  <si>
    <t>MAX</t>
  </si>
  <si>
    <t>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</si>
</sst>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b/>
      <sz val="18"/>
      <color rgb="FF000000"/>
      <name val="Calibri"/>
    </font>
    <font>
      <b/>
      <sz val="18"/>
      <color rgb="FFFFFFFF"/>
      <name val="Calibri"/>
    </font>
    <font>
      <b/>
      <sz val="16"/>
      <color rgb="FF000000"/>
      <name val="Calibri"/>
    </font>
    <font>
      <b/>
      <sz val="16"/>
      <color rgb="FFFFFFFF"/>
      <name val="Calibri"/>
    </font>
    <font>
      <b/>
      <sz val="16"/>
      <color theme="1"/>
      <name val="Calibri"/>
    </font>
    <font>
      <sz val="10"/>
      <name val="Arial"/>
    </font>
    <font>
      <b/>
      <sz val="12"/>
      <color theme="1"/>
      <name val="Calibri"/>
    </font>
    <font>
      <sz val="12"/>
      <color theme="1"/>
      <name val="Calibri"/>
    </font>
    <font>
      <sz val="10"/>
      <color theme="1"/>
      <name val="Arial"/>
      <scheme val="minor"/>
    </font>
    <font>
      <b/>
      <sz val="15"/>
      <color rgb="FFFFFFFF"/>
      <name val="Calibri"/>
    </font>
    <font>
      <b/>
      <sz val="17"/>
      <color rgb="FFFFFFFF"/>
      <name val="Calibri"/>
    </font>
    <font>
      <b/>
      <sz val="17"/>
      <color rgb="FF000000"/>
      <name val="Calibri"/>
    </font>
    <font>
      <b/>
      <sz val="20"/>
      <color rgb="FFFFFFFF"/>
      <name val="Calibri"/>
    </font>
    <font>
      <b/>
      <sz val="16"/>
      <color rgb="FF0000FF"/>
      <name val="Calibri"/>
    </font>
    <font>
      <b/>
      <sz val="12"/>
      <color rgb="FFFFFFFF"/>
      <name val="Calibri"/>
    </font>
    <font>
      <sz val="16"/>
      <color theme="1"/>
      <name val="Calibri"/>
    </font>
    <font>
      <sz val="12"/>
      <color theme="1"/>
      <name val="Arial"/>
    </font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b/>
      <sz val="16"/>
      <color rgb="FFFFFFFF"/>
      <name val="Calibri"/>
      <family val="2"/>
    </font>
    <font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b/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/>
    <xf numFmtId="0" fontId="10" fillId="0" borderId="1" xfId="0" applyFont="1" applyBorder="1"/>
    <xf numFmtId="0" fontId="1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5" fillId="10" borderId="5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9" fillId="0" borderId="0" xfId="0" applyFont="1"/>
    <xf numFmtId="0" fontId="0" fillId="0" borderId="0" xfId="0" applyFont="1" applyAlignment="1"/>
    <xf numFmtId="0" fontId="5" fillId="5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0" fillId="0" borderId="0" xfId="0" applyFont="1" applyAlignment="1"/>
    <xf numFmtId="0" fontId="2" fillId="2" borderId="0" xfId="0" applyFont="1" applyFill="1" applyAlignment="1">
      <alignment horizontal="center" vertical="center"/>
    </xf>
    <xf numFmtId="0" fontId="0" fillId="0" borderId="0" xfId="0" applyFont="1" applyAlignment="1"/>
    <xf numFmtId="0" fontId="6" fillId="8" borderId="2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/>
    <xf numFmtId="0" fontId="11" fillId="9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24" fillId="3" borderId="2" xfId="0" applyFont="1" applyFill="1" applyBorder="1" applyAlignment="1">
      <alignment horizontal="left" vertical="center" wrapText="1"/>
    </xf>
    <xf numFmtId="0" fontId="25" fillId="0" borderId="3" xfId="0" applyFont="1" applyBorder="1"/>
    <xf numFmtId="0" fontId="25" fillId="0" borderId="4" xfId="0" applyFont="1" applyBorder="1"/>
    <xf numFmtId="0" fontId="24" fillId="3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wrapText="1"/>
    </xf>
    <xf numFmtId="0" fontId="22" fillId="3" borderId="2" xfId="0" applyFont="1" applyFill="1" applyBorder="1" applyAlignment="1">
      <alignment horizontal="left" vertical="center" wrapText="1"/>
    </xf>
    <xf numFmtId="0" fontId="17" fillId="3" borderId="3" xfId="0" applyFont="1" applyFill="1" applyBorder="1" applyAlignment="1">
      <alignment horizontal="left" vertical="center" wrapText="1"/>
    </xf>
    <xf numFmtId="0" fontId="17" fillId="3" borderId="4" xfId="0" applyFont="1" applyFill="1" applyBorder="1" applyAlignment="1">
      <alignment horizontal="left" vertical="center" wrapText="1"/>
    </xf>
    <xf numFmtId="0" fontId="14" fillId="5" borderId="0" xfId="0" applyFont="1" applyFill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7" fillId="0" borderId="12" xfId="0" applyFont="1" applyBorder="1"/>
    <xf numFmtId="0" fontId="22" fillId="3" borderId="3" xfId="0" applyFont="1" applyFill="1" applyBorder="1" applyAlignment="1">
      <alignment horizontal="left" vertical="center" wrapText="1"/>
    </xf>
    <xf numFmtId="0" fontId="22" fillId="3" borderId="4" xfId="0" applyFont="1" applyFill="1" applyBorder="1" applyAlignment="1">
      <alignment horizontal="left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68725" cy="94202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E05DB3BD-605F-48CE-8F72-9F4C0770B9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468725" cy="94202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5"/>
  <sheetViews>
    <sheetView zoomScale="55" zoomScaleNormal="55" workbookViewId="0"/>
  </sheetViews>
  <sheetFormatPr baseColWidth="10" defaultColWidth="12.6640625" defaultRowHeight="15" customHeight="1" x14ac:dyDescent="0.25"/>
  <sheetData>
    <row r="1" spans="1:1" ht="15" customHeight="1" x14ac:dyDescent="0.3">
      <c r="A1" s="1"/>
    </row>
    <row r="2" spans="1:1" ht="15" customHeight="1" x14ac:dyDescent="0.3">
      <c r="A2" s="1"/>
    </row>
    <row r="3" spans="1:1" ht="15" customHeight="1" x14ac:dyDescent="0.3">
      <c r="A3" s="1"/>
    </row>
    <row r="4" spans="1:1" ht="15" customHeight="1" x14ac:dyDescent="0.3">
      <c r="A4" s="1"/>
    </row>
    <row r="5" spans="1:1" ht="15" customHeight="1" x14ac:dyDescent="0.3">
      <c r="A5" s="1"/>
    </row>
    <row r="6" spans="1:1" ht="15" customHeight="1" x14ac:dyDescent="0.3">
      <c r="A6" s="1"/>
    </row>
    <row r="7" spans="1:1" ht="15" customHeight="1" x14ac:dyDescent="0.3">
      <c r="A7" s="1"/>
    </row>
    <row r="8" spans="1:1" ht="15" customHeight="1" x14ac:dyDescent="0.3">
      <c r="A8" s="1"/>
    </row>
    <row r="9" spans="1:1" ht="15" customHeight="1" x14ac:dyDescent="0.3">
      <c r="A9" s="1"/>
    </row>
    <row r="10" spans="1:1" ht="15" customHeight="1" x14ac:dyDescent="0.3">
      <c r="A10" s="1"/>
    </row>
    <row r="11" spans="1:1" ht="15" customHeight="1" x14ac:dyDescent="0.3">
      <c r="A11" s="1"/>
    </row>
    <row r="12" spans="1:1" ht="15" customHeight="1" x14ac:dyDescent="0.3">
      <c r="A12" s="1"/>
    </row>
    <row r="13" spans="1:1" ht="15" customHeight="1" x14ac:dyDescent="0.3">
      <c r="A13" s="1"/>
    </row>
    <row r="14" spans="1:1" ht="15" customHeight="1" x14ac:dyDescent="0.3">
      <c r="A14" s="1"/>
    </row>
    <row r="15" spans="1:1" ht="15" customHeight="1" x14ac:dyDescent="0.3">
      <c r="A1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88"/>
  <sheetViews>
    <sheetView tabSelected="1" topLeftCell="A8" zoomScale="70" zoomScaleNormal="70" workbookViewId="0">
      <selection activeCell="H8" sqref="H8"/>
    </sheetView>
  </sheetViews>
  <sheetFormatPr baseColWidth="10" defaultColWidth="12.6640625" defaultRowHeight="15" customHeight="1" x14ac:dyDescent="0.25"/>
  <cols>
    <col min="1" max="1" width="7" customWidth="1"/>
    <col min="2" max="2" width="29.44140625" customWidth="1"/>
    <col min="3" max="3" width="45.6640625" customWidth="1"/>
    <col min="4" max="4" width="34.44140625" customWidth="1"/>
    <col min="5" max="5" width="26.6640625" customWidth="1"/>
    <col min="6" max="6" width="30.88671875" customWidth="1"/>
  </cols>
  <sheetData>
    <row r="1" spans="1:11" ht="38.25" customHeight="1" x14ac:dyDescent="0.25">
      <c r="A1" s="39" t="s">
        <v>0</v>
      </c>
      <c r="B1" s="40"/>
      <c r="C1" s="40"/>
      <c r="D1" s="40"/>
      <c r="E1" s="40"/>
      <c r="F1" s="40"/>
      <c r="G1" s="2"/>
      <c r="H1" s="2"/>
      <c r="I1" s="2"/>
      <c r="J1" s="2"/>
      <c r="K1" s="2"/>
    </row>
    <row r="2" spans="1:11" ht="36" customHeight="1" x14ac:dyDescent="0.25">
      <c r="A2" s="3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</row>
    <row r="3" spans="1:11" ht="30" customHeight="1" x14ac:dyDescent="0.25">
      <c r="A3" s="41"/>
      <c r="B3" s="42"/>
      <c r="C3" s="43"/>
      <c r="D3" s="8" t="s">
        <v>7</v>
      </c>
      <c r="E3" s="8" t="s">
        <v>7</v>
      </c>
      <c r="F3" s="8" t="s">
        <v>7</v>
      </c>
    </row>
    <row r="4" spans="1:11" ht="30" customHeight="1" x14ac:dyDescent="0.25">
      <c r="A4" s="9">
        <v>1</v>
      </c>
      <c r="B4" s="10" t="s">
        <v>8</v>
      </c>
      <c r="C4" s="11" t="s">
        <v>49</v>
      </c>
      <c r="D4" s="11" t="s">
        <v>46</v>
      </c>
      <c r="E4" s="11" t="s">
        <v>47</v>
      </c>
      <c r="F4" s="11" t="s">
        <v>48</v>
      </c>
    </row>
    <row r="5" spans="1:11" ht="30" customHeight="1" x14ac:dyDescent="0.25">
      <c r="A5" s="9">
        <f t="shared" ref="A5:A21" si="0">A4+1</f>
        <v>2</v>
      </c>
      <c r="B5" s="10" t="s">
        <v>9</v>
      </c>
      <c r="C5" s="11" t="s">
        <v>50</v>
      </c>
      <c r="D5" s="11" t="s">
        <v>9</v>
      </c>
      <c r="E5" s="11" t="s">
        <v>51</v>
      </c>
      <c r="F5" s="11" t="s">
        <v>52</v>
      </c>
    </row>
    <row r="6" spans="1:11" ht="30" customHeight="1" x14ac:dyDescent="0.25">
      <c r="A6" s="9">
        <f t="shared" si="0"/>
        <v>3</v>
      </c>
      <c r="B6" s="10" t="s">
        <v>10</v>
      </c>
      <c r="C6" s="11" t="s">
        <v>53</v>
      </c>
      <c r="D6" s="11" t="s">
        <v>54</v>
      </c>
      <c r="E6" s="11" t="s">
        <v>55</v>
      </c>
      <c r="F6" s="11" t="s">
        <v>55</v>
      </c>
    </row>
    <row r="7" spans="1:11" ht="30" customHeight="1" x14ac:dyDescent="0.25">
      <c r="A7" s="9">
        <f t="shared" si="0"/>
        <v>4</v>
      </c>
      <c r="B7" s="10" t="s">
        <v>11</v>
      </c>
      <c r="C7" s="11" t="s">
        <v>56</v>
      </c>
      <c r="D7" s="11" t="s">
        <v>57</v>
      </c>
      <c r="E7" s="11" t="s">
        <v>57</v>
      </c>
      <c r="F7" s="11" t="s">
        <v>57</v>
      </c>
    </row>
    <row r="8" spans="1:11" ht="30" customHeight="1" x14ac:dyDescent="0.25">
      <c r="A8" s="9">
        <f t="shared" si="0"/>
        <v>5</v>
      </c>
      <c r="B8" s="10" t="s">
        <v>12</v>
      </c>
      <c r="C8" s="11" t="s">
        <v>58</v>
      </c>
      <c r="D8" s="11" t="s">
        <v>59</v>
      </c>
      <c r="E8" s="11" t="s">
        <v>59</v>
      </c>
      <c r="F8" s="11" t="s">
        <v>60</v>
      </c>
    </row>
    <row r="9" spans="1:11" ht="30" customHeight="1" x14ac:dyDescent="0.25">
      <c r="A9" s="9">
        <f t="shared" si="0"/>
        <v>6</v>
      </c>
      <c r="B9" s="10" t="s">
        <v>13</v>
      </c>
      <c r="C9" s="11" t="s">
        <v>61</v>
      </c>
      <c r="D9" s="11" t="s">
        <v>62</v>
      </c>
      <c r="E9" s="11" t="s">
        <v>62</v>
      </c>
      <c r="F9" s="11" t="s">
        <v>62</v>
      </c>
    </row>
    <row r="10" spans="1:11" ht="30" customHeight="1" x14ac:dyDescent="0.25">
      <c r="A10" s="9">
        <f t="shared" si="0"/>
        <v>7</v>
      </c>
      <c r="B10" s="10" t="s">
        <v>14</v>
      </c>
      <c r="C10" s="11" t="s">
        <v>63</v>
      </c>
      <c r="D10" s="11" t="s">
        <v>64</v>
      </c>
      <c r="E10" s="11" t="s">
        <v>64</v>
      </c>
      <c r="F10" s="11" t="s">
        <v>64</v>
      </c>
    </row>
    <row r="11" spans="1:11" ht="30" customHeight="1" x14ac:dyDescent="0.25">
      <c r="A11" s="9">
        <f t="shared" si="0"/>
        <v>8</v>
      </c>
      <c r="B11" s="10" t="s">
        <v>15</v>
      </c>
      <c r="C11" s="11" t="s">
        <v>65</v>
      </c>
      <c r="D11" s="11" t="s">
        <v>66</v>
      </c>
      <c r="E11" s="11" t="s">
        <v>66</v>
      </c>
      <c r="F11" s="11" t="s">
        <v>66</v>
      </c>
    </row>
    <row r="12" spans="1:11" ht="30" customHeight="1" x14ac:dyDescent="0.25">
      <c r="A12" s="9">
        <f t="shared" si="0"/>
        <v>9</v>
      </c>
      <c r="B12" s="10" t="s">
        <v>16</v>
      </c>
      <c r="C12" s="11" t="s">
        <v>67</v>
      </c>
      <c r="D12" s="11" t="s">
        <v>68</v>
      </c>
      <c r="E12" s="11" t="s">
        <v>308</v>
      </c>
      <c r="F12" s="11" t="s">
        <v>308</v>
      </c>
    </row>
    <row r="13" spans="1:11" ht="30" customHeight="1" x14ac:dyDescent="0.25">
      <c r="A13" s="9">
        <f t="shared" si="0"/>
        <v>10</v>
      </c>
      <c r="B13" s="12" t="s">
        <v>17</v>
      </c>
      <c r="C13" s="11" t="s">
        <v>69</v>
      </c>
      <c r="D13" s="11" t="s">
        <v>70</v>
      </c>
      <c r="E13" s="11" t="s">
        <v>70</v>
      </c>
      <c r="F13" s="11" t="s">
        <v>70</v>
      </c>
    </row>
    <row r="14" spans="1:11" ht="30" customHeight="1" x14ac:dyDescent="0.25">
      <c r="A14" s="9">
        <f t="shared" si="0"/>
        <v>11</v>
      </c>
      <c r="B14" s="10" t="s">
        <v>18</v>
      </c>
      <c r="C14" s="13" t="s">
        <v>71</v>
      </c>
      <c r="D14" s="13" t="s">
        <v>72</v>
      </c>
      <c r="E14" s="13" t="s">
        <v>72</v>
      </c>
      <c r="F14" s="13" t="s">
        <v>72</v>
      </c>
    </row>
    <row r="15" spans="1:11" ht="30" customHeight="1" x14ac:dyDescent="0.25">
      <c r="A15" s="9">
        <f t="shared" si="0"/>
        <v>12</v>
      </c>
      <c r="B15" s="10" t="s">
        <v>19</v>
      </c>
      <c r="C15" s="13" t="s">
        <v>73</v>
      </c>
      <c r="D15" s="13" t="s">
        <v>86</v>
      </c>
      <c r="E15" s="13" t="s">
        <v>19</v>
      </c>
      <c r="F15" s="13" t="s">
        <v>86</v>
      </c>
    </row>
    <row r="16" spans="1:11" ht="30" customHeight="1" x14ac:dyDescent="0.25">
      <c r="A16" s="9">
        <f t="shared" si="0"/>
        <v>13</v>
      </c>
      <c r="B16" s="12" t="s">
        <v>20</v>
      </c>
      <c r="C16" s="13" t="s">
        <v>74</v>
      </c>
      <c r="D16" s="13" t="s">
        <v>80</v>
      </c>
      <c r="E16" s="13" t="s">
        <v>80</v>
      </c>
      <c r="F16" s="13" t="s">
        <v>80</v>
      </c>
    </row>
    <row r="17" spans="1:6" ht="30" customHeight="1" x14ac:dyDescent="0.25">
      <c r="A17" s="9">
        <f t="shared" si="0"/>
        <v>14</v>
      </c>
      <c r="B17" s="12" t="s">
        <v>21</v>
      </c>
      <c r="C17" s="13" t="s">
        <v>75</v>
      </c>
      <c r="D17" s="13" t="s">
        <v>81</v>
      </c>
      <c r="E17" s="13" t="s">
        <v>82</v>
      </c>
      <c r="F17" s="13" t="s">
        <v>83</v>
      </c>
    </row>
    <row r="18" spans="1:6" ht="27.75" customHeight="1" x14ac:dyDescent="0.3">
      <c r="A18" s="9">
        <f t="shared" si="0"/>
        <v>15</v>
      </c>
      <c r="B18" s="10" t="s">
        <v>22</v>
      </c>
      <c r="C18" s="14" t="s">
        <v>76</v>
      </c>
      <c r="D18" s="14" t="s">
        <v>22</v>
      </c>
      <c r="E18" s="14" t="s">
        <v>22</v>
      </c>
      <c r="F18" s="14" t="s">
        <v>84</v>
      </c>
    </row>
    <row r="19" spans="1:6" ht="27.75" customHeight="1" x14ac:dyDescent="0.3">
      <c r="A19" s="9">
        <f t="shared" si="0"/>
        <v>16</v>
      </c>
      <c r="B19" s="12" t="s">
        <v>23</v>
      </c>
      <c r="C19" s="14" t="s">
        <v>77</v>
      </c>
      <c r="D19" s="14" t="s">
        <v>23</v>
      </c>
      <c r="E19" s="14" t="s">
        <v>85</v>
      </c>
      <c r="F19" s="14" t="s">
        <v>85</v>
      </c>
    </row>
    <row r="20" spans="1:6" ht="27.75" customHeight="1" x14ac:dyDescent="0.25">
      <c r="A20" s="9">
        <f t="shared" si="0"/>
        <v>17</v>
      </c>
      <c r="B20" s="10" t="s">
        <v>24</v>
      </c>
      <c r="C20" s="15" t="s">
        <v>78</v>
      </c>
      <c r="D20" s="15" t="s">
        <v>81</v>
      </c>
      <c r="E20" s="15" t="s">
        <v>82</v>
      </c>
      <c r="F20" s="13" t="s">
        <v>83</v>
      </c>
    </row>
    <row r="21" spans="1:6" ht="27.75" customHeight="1" x14ac:dyDescent="0.25">
      <c r="A21" s="9">
        <f t="shared" si="0"/>
        <v>18</v>
      </c>
      <c r="B21" s="10" t="s">
        <v>25</v>
      </c>
      <c r="C21" s="15" t="s">
        <v>79</v>
      </c>
      <c r="D21" s="15" t="s">
        <v>81</v>
      </c>
      <c r="E21" s="15" t="s">
        <v>82</v>
      </c>
      <c r="F21" s="13" t="s">
        <v>83</v>
      </c>
    </row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2">
    <mergeCell ref="A1:F1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1"/>
  <sheetViews>
    <sheetView topLeftCell="A6" zoomScale="70" zoomScaleNormal="70" workbookViewId="0">
      <selection activeCell="F12" sqref="F12"/>
    </sheetView>
  </sheetViews>
  <sheetFormatPr baseColWidth="10" defaultColWidth="12.6640625" defaultRowHeight="15" customHeight="1" x14ac:dyDescent="0.25"/>
  <cols>
    <col min="1" max="1" width="7" customWidth="1"/>
    <col min="2" max="2" width="37.33203125" customWidth="1"/>
    <col min="3" max="3" width="71.88671875" customWidth="1"/>
    <col min="4" max="4" width="58.6640625" customWidth="1"/>
  </cols>
  <sheetData>
    <row r="1" spans="1:8" ht="28.5" customHeight="1" x14ac:dyDescent="0.25">
      <c r="A1" s="44" t="s">
        <v>26</v>
      </c>
      <c r="B1" s="40"/>
      <c r="C1" s="40"/>
      <c r="D1" s="40"/>
      <c r="E1" s="2"/>
      <c r="F1" s="2"/>
      <c r="G1" s="2"/>
      <c r="H1" s="2"/>
    </row>
    <row r="2" spans="1:8" ht="69" customHeight="1" x14ac:dyDescent="0.25">
      <c r="A2" s="45" t="s">
        <v>27</v>
      </c>
      <c r="B2" s="40"/>
      <c r="C2" s="40"/>
      <c r="D2" s="40"/>
      <c r="E2" s="2"/>
      <c r="F2" s="2"/>
      <c r="G2" s="2"/>
      <c r="H2" s="2"/>
    </row>
    <row r="3" spans="1:8" ht="36" customHeight="1" x14ac:dyDescent="0.25">
      <c r="A3" s="16" t="s">
        <v>1</v>
      </c>
      <c r="B3" s="16" t="s">
        <v>28</v>
      </c>
      <c r="C3" s="3" t="s">
        <v>29</v>
      </c>
      <c r="D3" s="3" t="s">
        <v>30</v>
      </c>
    </row>
    <row r="4" spans="1:8" ht="37.5" customHeight="1" x14ac:dyDescent="0.25">
      <c r="A4" s="9">
        <v>1</v>
      </c>
      <c r="B4" s="17" t="s">
        <v>87</v>
      </c>
      <c r="C4" s="30" t="s">
        <v>116</v>
      </c>
      <c r="D4" s="18"/>
    </row>
    <row r="5" spans="1:8" ht="37.5" customHeight="1" x14ac:dyDescent="0.25">
      <c r="A5" s="9">
        <f t="shared" ref="A5:A27" si="0">A4+1</f>
        <v>2</v>
      </c>
      <c r="B5" s="17" t="s">
        <v>88</v>
      </c>
      <c r="C5" s="30" t="s">
        <v>117</v>
      </c>
      <c r="D5" s="18"/>
    </row>
    <row r="6" spans="1:8" ht="37.5" customHeight="1" x14ac:dyDescent="0.25">
      <c r="A6" s="9">
        <f t="shared" si="0"/>
        <v>3</v>
      </c>
      <c r="B6" s="18" t="s">
        <v>89</v>
      </c>
      <c r="C6" s="30" t="s">
        <v>118</v>
      </c>
      <c r="D6" s="18"/>
    </row>
    <row r="7" spans="1:8" ht="37.5" customHeight="1" x14ac:dyDescent="0.25">
      <c r="A7" s="9">
        <f t="shared" si="0"/>
        <v>4</v>
      </c>
      <c r="B7" s="18" t="s">
        <v>90</v>
      </c>
      <c r="C7" s="30" t="s">
        <v>119</v>
      </c>
      <c r="D7" s="18"/>
    </row>
    <row r="8" spans="1:8" ht="37.5" customHeight="1" x14ac:dyDescent="0.25">
      <c r="A8" s="9">
        <f t="shared" si="0"/>
        <v>5</v>
      </c>
      <c r="B8" s="18" t="s">
        <v>91</v>
      </c>
      <c r="C8" s="30" t="s">
        <v>120</v>
      </c>
      <c r="D8" s="18"/>
      <c r="F8" s="38"/>
    </row>
    <row r="9" spans="1:8" ht="37.5" customHeight="1" x14ac:dyDescent="0.25">
      <c r="A9" s="9">
        <f t="shared" si="0"/>
        <v>6</v>
      </c>
      <c r="B9" s="18" t="s">
        <v>92</v>
      </c>
      <c r="C9" s="30" t="s">
        <v>121</v>
      </c>
      <c r="D9" s="18"/>
    </row>
    <row r="10" spans="1:8" ht="37.5" customHeight="1" x14ac:dyDescent="0.25">
      <c r="A10" s="9">
        <f t="shared" si="0"/>
        <v>7</v>
      </c>
      <c r="B10" s="18" t="s">
        <v>93</v>
      </c>
      <c r="C10" s="30" t="s">
        <v>122</v>
      </c>
      <c r="D10" s="18"/>
    </row>
    <row r="11" spans="1:8" ht="37.5" customHeight="1" x14ac:dyDescent="0.25">
      <c r="A11" s="9">
        <f t="shared" si="0"/>
        <v>8</v>
      </c>
      <c r="B11" s="18" t="s">
        <v>94</v>
      </c>
      <c r="C11" s="30" t="s">
        <v>123</v>
      </c>
      <c r="D11" s="18"/>
    </row>
    <row r="12" spans="1:8" ht="37.5" customHeight="1" x14ac:dyDescent="0.25">
      <c r="A12" s="9">
        <f t="shared" si="0"/>
        <v>9</v>
      </c>
      <c r="B12" s="18" t="s">
        <v>95</v>
      </c>
      <c r="C12" s="30" t="s">
        <v>124</v>
      </c>
      <c r="D12" s="18"/>
    </row>
    <row r="13" spans="1:8" ht="37.5" customHeight="1" x14ac:dyDescent="0.25">
      <c r="A13" s="9">
        <f t="shared" si="0"/>
        <v>10</v>
      </c>
      <c r="B13" s="18" t="s">
        <v>96</v>
      </c>
      <c r="C13" s="30" t="s">
        <v>125</v>
      </c>
      <c r="D13" s="18"/>
    </row>
    <row r="14" spans="1:8" ht="37.5" customHeight="1" x14ac:dyDescent="0.25">
      <c r="A14" s="9">
        <f t="shared" si="0"/>
        <v>11</v>
      </c>
      <c r="B14" s="18" t="s">
        <v>97</v>
      </c>
      <c r="C14" s="8" t="s">
        <v>126</v>
      </c>
      <c r="D14" s="18"/>
    </row>
    <row r="15" spans="1:8" ht="37.5" customHeight="1" x14ac:dyDescent="0.25">
      <c r="A15" s="9">
        <f t="shared" si="0"/>
        <v>12</v>
      </c>
      <c r="B15" s="19" t="s">
        <v>98</v>
      </c>
      <c r="C15" s="8" t="s">
        <v>127</v>
      </c>
      <c r="D15" s="19"/>
    </row>
    <row r="16" spans="1:8" ht="37.5" customHeight="1" x14ac:dyDescent="0.25">
      <c r="A16" s="9">
        <f t="shared" si="0"/>
        <v>13</v>
      </c>
      <c r="B16" s="19" t="s">
        <v>99</v>
      </c>
      <c r="C16" s="8" t="s">
        <v>128</v>
      </c>
      <c r="D16" s="19"/>
    </row>
    <row r="17" spans="1:4" ht="37.5" customHeight="1" x14ac:dyDescent="0.25">
      <c r="A17" s="9">
        <f t="shared" si="0"/>
        <v>14</v>
      </c>
      <c r="B17" s="19" t="s">
        <v>100</v>
      </c>
      <c r="C17" s="8" t="s">
        <v>129</v>
      </c>
      <c r="D17" s="19"/>
    </row>
    <row r="18" spans="1:4" ht="37.5" customHeight="1" x14ac:dyDescent="0.25">
      <c r="A18" s="9">
        <f t="shared" si="0"/>
        <v>15</v>
      </c>
      <c r="B18" s="19" t="s">
        <v>101</v>
      </c>
      <c r="C18" s="8" t="s">
        <v>130</v>
      </c>
      <c r="D18" s="19"/>
    </row>
    <row r="19" spans="1:4" ht="37.5" customHeight="1" x14ac:dyDescent="0.25">
      <c r="A19" s="9">
        <f t="shared" si="0"/>
        <v>16</v>
      </c>
      <c r="B19" s="19" t="s">
        <v>102</v>
      </c>
      <c r="C19" s="8" t="s">
        <v>131</v>
      </c>
      <c r="D19" s="19"/>
    </row>
    <row r="20" spans="1:4" ht="37.5" customHeight="1" x14ac:dyDescent="0.25">
      <c r="A20" s="9">
        <f t="shared" si="0"/>
        <v>17</v>
      </c>
      <c r="B20" s="19" t="s">
        <v>103</v>
      </c>
      <c r="C20" s="8" t="s">
        <v>132</v>
      </c>
      <c r="D20" s="19"/>
    </row>
    <row r="21" spans="1:4" ht="37.5" customHeight="1" x14ac:dyDescent="0.25">
      <c r="A21" s="9">
        <f t="shared" si="0"/>
        <v>18</v>
      </c>
      <c r="B21" s="19" t="s">
        <v>104</v>
      </c>
      <c r="C21" s="8" t="s">
        <v>133</v>
      </c>
      <c r="D21" s="19"/>
    </row>
    <row r="22" spans="1:4" ht="37.5" customHeight="1" x14ac:dyDescent="0.25">
      <c r="A22" s="9">
        <f t="shared" si="0"/>
        <v>19</v>
      </c>
      <c r="B22" s="19" t="s">
        <v>105</v>
      </c>
      <c r="C22" s="31" t="s">
        <v>134</v>
      </c>
      <c r="D22" s="19"/>
    </row>
    <row r="23" spans="1:4" ht="37.5" customHeight="1" x14ac:dyDescent="0.25">
      <c r="A23" s="9">
        <f t="shared" si="0"/>
        <v>20</v>
      </c>
      <c r="B23" s="19" t="s">
        <v>106</v>
      </c>
      <c r="C23" s="31" t="s">
        <v>135</v>
      </c>
      <c r="D23" s="19"/>
    </row>
    <row r="24" spans="1:4" ht="37.5" customHeight="1" x14ac:dyDescent="0.25">
      <c r="A24" s="9">
        <f t="shared" si="0"/>
        <v>21</v>
      </c>
      <c r="B24" s="19" t="s">
        <v>107</v>
      </c>
      <c r="C24" s="31" t="s">
        <v>136</v>
      </c>
      <c r="D24" s="19"/>
    </row>
    <row r="25" spans="1:4" ht="37.5" customHeight="1" x14ac:dyDescent="0.25">
      <c r="A25" s="9">
        <f t="shared" si="0"/>
        <v>22</v>
      </c>
      <c r="B25" s="19" t="s">
        <v>108</v>
      </c>
      <c r="C25" s="32" t="s">
        <v>137</v>
      </c>
      <c r="D25" s="19"/>
    </row>
    <row r="26" spans="1:4" ht="37.5" customHeight="1" x14ac:dyDescent="0.25">
      <c r="A26" s="9">
        <f t="shared" si="0"/>
        <v>23</v>
      </c>
      <c r="B26" s="19" t="s">
        <v>109</v>
      </c>
      <c r="C26" s="32" t="s">
        <v>138</v>
      </c>
      <c r="D26" s="19"/>
    </row>
    <row r="27" spans="1:4" ht="37.5" customHeight="1" x14ac:dyDescent="0.25">
      <c r="A27" s="9">
        <f t="shared" si="0"/>
        <v>24</v>
      </c>
      <c r="B27" s="19" t="s">
        <v>110</v>
      </c>
      <c r="C27" s="32" t="s">
        <v>139</v>
      </c>
      <c r="D27" s="19"/>
    </row>
    <row r="28" spans="1:4" ht="34.200000000000003" customHeight="1" x14ac:dyDescent="0.25">
      <c r="A28" s="9">
        <f>A27+1</f>
        <v>25</v>
      </c>
      <c r="B28" s="19" t="s">
        <v>111</v>
      </c>
      <c r="C28" s="32" t="s">
        <v>140</v>
      </c>
      <c r="D28" s="19"/>
    </row>
    <row r="29" spans="1:4" ht="32.4" customHeight="1" x14ac:dyDescent="0.25">
      <c r="A29" s="9">
        <f>A28+1</f>
        <v>26</v>
      </c>
      <c r="B29" s="19" t="s">
        <v>112</v>
      </c>
      <c r="C29" s="32" t="s">
        <v>141</v>
      </c>
      <c r="D29" s="19"/>
    </row>
    <row r="30" spans="1:4" ht="34.200000000000003" customHeight="1" x14ac:dyDescent="0.25">
      <c r="A30" s="9">
        <f>A29+1</f>
        <v>27</v>
      </c>
      <c r="B30" s="19" t="s">
        <v>113</v>
      </c>
      <c r="C30" s="32" t="s">
        <v>142</v>
      </c>
      <c r="D30" s="19"/>
    </row>
    <row r="31" spans="1:4" ht="34.799999999999997" customHeight="1" x14ac:dyDescent="0.25">
      <c r="A31" s="9">
        <f>A30+1</f>
        <v>28</v>
      </c>
      <c r="B31" s="19" t="s">
        <v>114</v>
      </c>
      <c r="C31" s="32" t="s">
        <v>143</v>
      </c>
      <c r="D31" s="19"/>
    </row>
    <row r="32" spans="1:4" ht="31.8" customHeight="1" x14ac:dyDescent="0.25">
      <c r="A32" s="9">
        <f>A31+1</f>
        <v>29</v>
      </c>
      <c r="B32" s="19" t="s">
        <v>115</v>
      </c>
      <c r="C32" s="33" t="s">
        <v>144</v>
      </c>
      <c r="D32" s="19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882"/>
  <sheetViews>
    <sheetView topLeftCell="A170" zoomScale="55" zoomScaleNormal="55" workbookViewId="0">
      <selection activeCell="A178" sqref="A178"/>
    </sheetView>
  </sheetViews>
  <sheetFormatPr baseColWidth="10" defaultColWidth="12.6640625" defaultRowHeight="15" customHeight="1" x14ac:dyDescent="0.25"/>
  <cols>
    <col min="1" max="1" width="5.6640625" customWidth="1"/>
    <col min="2" max="2" width="33.77734375" customWidth="1"/>
    <col min="3" max="3" width="13.33203125" customWidth="1"/>
    <col min="4" max="5" width="3.88671875" customWidth="1"/>
    <col min="6" max="6" width="21.6640625" customWidth="1"/>
    <col min="7" max="9" width="3.88671875" customWidth="1"/>
    <col min="10" max="10" width="20.21875" customWidth="1"/>
    <col min="11" max="22" width="3.88671875" customWidth="1"/>
    <col min="23" max="23" width="4.6640625" customWidth="1"/>
    <col min="24" max="24" width="17" customWidth="1"/>
    <col min="25" max="25" width="30.33203125" customWidth="1"/>
  </cols>
  <sheetData>
    <row r="1" spans="1:25" ht="39" customHeight="1" x14ac:dyDescent="0.25">
      <c r="A1" s="70" t="s">
        <v>31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</row>
    <row r="2" spans="1:25" ht="28.5" customHeight="1" thickBo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spans="1:25" ht="62.25" customHeight="1" thickTop="1" x14ac:dyDescent="0.25">
      <c r="A3" s="20">
        <f>'Invetario de Tablas'!A4</f>
        <v>1</v>
      </c>
      <c r="B3" s="29" t="s">
        <v>28</v>
      </c>
      <c r="C3" s="54" t="str">
        <f>'Invetario de Tablas'!B4</f>
        <v>apicultor</v>
      </c>
      <c r="D3" s="71"/>
      <c r="E3" s="71"/>
      <c r="F3" s="72"/>
      <c r="G3" s="57" t="s">
        <v>29</v>
      </c>
      <c r="H3" s="71"/>
      <c r="I3" s="71"/>
      <c r="J3" s="72"/>
      <c r="K3" s="60" t="str">
        <f>'Invetario de Tablas'!C4</f>
        <v>Personas que producen productos apícolas.</v>
      </c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2"/>
      <c r="X3" s="21" t="s">
        <v>32</v>
      </c>
      <c r="Y3" s="22"/>
    </row>
    <row r="4" spans="1:25" ht="42.75" customHeight="1" x14ac:dyDescent="0.25">
      <c r="A4" s="23" t="s">
        <v>1</v>
      </c>
      <c r="B4" s="24" t="s">
        <v>33</v>
      </c>
      <c r="C4" s="52" t="s">
        <v>34</v>
      </c>
      <c r="D4" s="42"/>
      <c r="E4" s="42"/>
      <c r="F4" s="43"/>
      <c r="G4" s="52" t="s">
        <v>35</v>
      </c>
      <c r="H4" s="64"/>
      <c r="I4" s="64"/>
      <c r="J4" s="65"/>
      <c r="K4" s="52" t="s">
        <v>36</v>
      </c>
      <c r="L4" s="42"/>
      <c r="M4" s="42"/>
      <c r="N4" s="43"/>
      <c r="O4" s="52" t="s">
        <v>37</v>
      </c>
      <c r="P4" s="42"/>
      <c r="Q4" s="43"/>
      <c r="R4" s="52" t="s">
        <v>38</v>
      </c>
      <c r="S4" s="43"/>
      <c r="T4" s="52" t="s">
        <v>39</v>
      </c>
      <c r="U4" s="43"/>
      <c r="V4" s="52" t="s">
        <v>40</v>
      </c>
      <c r="W4" s="43"/>
      <c r="X4" s="52" t="s">
        <v>41</v>
      </c>
      <c r="Y4" s="73"/>
    </row>
    <row r="5" spans="1:25" ht="30" customHeight="1" x14ac:dyDescent="0.25">
      <c r="A5" s="25">
        <v>1</v>
      </c>
      <c r="B5" s="34" t="s">
        <v>145</v>
      </c>
      <c r="C5" s="67" t="s">
        <v>148</v>
      </c>
      <c r="D5" s="42"/>
      <c r="E5" s="42"/>
      <c r="F5" s="43"/>
      <c r="G5" s="67" t="s">
        <v>46</v>
      </c>
      <c r="H5" s="42"/>
      <c r="I5" s="42"/>
      <c r="J5" s="43"/>
      <c r="K5" s="49"/>
      <c r="L5" s="47"/>
      <c r="M5" s="47"/>
      <c r="N5" s="48"/>
      <c r="O5" s="49" t="s">
        <v>229</v>
      </c>
      <c r="P5" s="47"/>
      <c r="Q5" s="48"/>
      <c r="R5" s="49" t="s">
        <v>230</v>
      </c>
      <c r="S5" s="48"/>
      <c r="T5" s="49"/>
      <c r="U5" s="48"/>
      <c r="V5" s="49" t="s">
        <v>230</v>
      </c>
      <c r="W5" s="48"/>
      <c r="X5" s="50"/>
      <c r="Y5" s="73"/>
    </row>
    <row r="6" spans="1:25" ht="30" customHeight="1" x14ac:dyDescent="0.25">
      <c r="A6" s="25">
        <v>2</v>
      </c>
      <c r="B6" s="34" t="s">
        <v>146</v>
      </c>
      <c r="C6" s="67" t="s">
        <v>149</v>
      </c>
      <c r="D6" s="42"/>
      <c r="E6" s="42"/>
      <c r="F6" s="43"/>
      <c r="G6" s="67" t="s">
        <v>310</v>
      </c>
      <c r="H6" s="42"/>
      <c r="I6" s="42"/>
      <c r="J6" s="43"/>
      <c r="K6" s="49">
        <v>50</v>
      </c>
      <c r="L6" s="47"/>
      <c r="M6" s="47"/>
      <c r="N6" s="48"/>
      <c r="O6" s="49" t="s">
        <v>229</v>
      </c>
      <c r="P6" s="47"/>
      <c r="Q6" s="48"/>
      <c r="R6" s="49"/>
      <c r="S6" s="48"/>
      <c r="T6" s="49"/>
      <c r="U6" s="48"/>
      <c r="V6" s="49"/>
      <c r="W6" s="48"/>
      <c r="X6" s="50"/>
      <c r="Y6" s="73"/>
    </row>
    <row r="7" spans="1:25" ht="30" customHeight="1" x14ac:dyDescent="0.25">
      <c r="A7" s="25">
        <v>3</v>
      </c>
      <c r="B7" s="34" t="s">
        <v>147</v>
      </c>
      <c r="C7" s="67" t="s">
        <v>150</v>
      </c>
      <c r="D7" s="42"/>
      <c r="E7" s="42"/>
      <c r="F7" s="43"/>
      <c r="G7" s="67" t="s">
        <v>62</v>
      </c>
      <c r="H7" s="42"/>
      <c r="I7" s="42"/>
      <c r="J7" s="43"/>
      <c r="K7" s="49"/>
      <c r="L7" s="47"/>
      <c r="M7" s="47"/>
      <c r="N7" s="48"/>
      <c r="O7" s="49" t="s">
        <v>231</v>
      </c>
      <c r="P7" s="47"/>
      <c r="Q7" s="48"/>
      <c r="R7" s="49"/>
      <c r="S7" s="48"/>
      <c r="T7" s="49"/>
      <c r="U7" s="48"/>
      <c r="V7" s="49"/>
      <c r="W7" s="48"/>
      <c r="X7" s="50"/>
      <c r="Y7" s="73"/>
    </row>
    <row r="8" spans="1:25" ht="30" customHeight="1" x14ac:dyDescent="0.25">
      <c r="A8" s="25">
        <v>4</v>
      </c>
      <c r="B8" s="34" t="s">
        <v>151</v>
      </c>
      <c r="C8" s="67" t="s">
        <v>153</v>
      </c>
      <c r="D8" s="42"/>
      <c r="E8" s="42"/>
      <c r="F8" s="43"/>
      <c r="G8" s="67" t="s">
        <v>310</v>
      </c>
      <c r="H8" s="42"/>
      <c r="I8" s="42"/>
      <c r="J8" s="43"/>
      <c r="K8" s="46">
        <v>15</v>
      </c>
      <c r="L8" s="47"/>
      <c r="M8" s="47"/>
      <c r="N8" s="48"/>
      <c r="O8" s="46" t="s">
        <v>229</v>
      </c>
      <c r="P8" s="47"/>
      <c r="Q8" s="48"/>
      <c r="R8" s="46"/>
      <c r="S8" s="48"/>
      <c r="T8" s="46"/>
      <c r="U8" s="48"/>
      <c r="V8" s="49" t="s">
        <v>230</v>
      </c>
      <c r="W8" s="48"/>
      <c r="X8" s="50"/>
      <c r="Y8" s="73"/>
    </row>
    <row r="9" spans="1:25" ht="30" customHeight="1" x14ac:dyDescent="0.25">
      <c r="A9" s="25">
        <v>5</v>
      </c>
      <c r="B9" s="34" t="s">
        <v>152</v>
      </c>
      <c r="C9" s="67" t="s">
        <v>154</v>
      </c>
      <c r="D9" s="42"/>
      <c r="E9" s="42"/>
      <c r="F9" s="43"/>
      <c r="G9" s="67" t="s">
        <v>310</v>
      </c>
      <c r="H9" s="42"/>
      <c r="I9" s="42"/>
      <c r="J9" s="43"/>
      <c r="K9" s="46">
        <v>100</v>
      </c>
      <c r="L9" s="47"/>
      <c r="M9" s="47"/>
      <c r="N9" s="48"/>
      <c r="O9" s="46" t="s">
        <v>229</v>
      </c>
      <c r="P9" s="47"/>
      <c r="Q9" s="48"/>
      <c r="R9" s="46"/>
      <c r="S9" s="48"/>
      <c r="T9" s="46"/>
      <c r="U9" s="48"/>
      <c r="V9" s="49" t="s">
        <v>230</v>
      </c>
      <c r="W9" s="48"/>
      <c r="X9" s="50"/>
      <c r="Y9" s="73"/>
    </row>
    <row r="10" spans="1:25" ht="36" customHeight="1" thickBot="1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25" ht="54" customHeight="1" thickTop="1" x14ac:dyDescent="0.25">
      <c r="A11" s="20">
        <f>'Invetario de Tablas'!A5</f>
        <v>2</v>
      </c>
      <c r="B11" s="29" t="s">
        <v>28</v>
      </c>
      <c r="C11" s="54" t="str">
        <f>'Invetario de Tablas'!B5</f>
        <v>apiario</v>
      </c>
      <c r="D11" s="55"/>
      <c r="E11" s="55"/>
      <c r="F11" s="56"/>
      <c r="G11" s="57" t="s">
        <v>29</v>
      </c>
      <c r="H11" s="58"/>
      <c r="I11" s="58"/>
      <c r="J11" s="59"/>
      <c r="K11" s="60" t="str">
        <f>'Invetario de Tablas'!C5</f>
        <v>Lugar donde el apicultor mantiene su producción.</v>
      </c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2"/>
      <c r="X11" s="21" t="s">
        <v>32</v>
      </c>
      <c r="Y11" s="22"/>
    </row>
    <row r="12" spans="1:25" ht="60" customHeight="1" x14ac:dyDescent="0.25">
      <c r="A12" s="23" t="s">
        <v>1</v>
      </c>
      <c r="B12" s="24" t="s">
        <v>33</v>
      </c>
      <c r="C12" s="52" t="s">
        <v>34</v>
      </c>
      <c r="D12" s="64"/>
      <c r="E12" s="64"/>
      <c r="F12" s="65"/>
      <c r="G12" s="52" t="s">
        <v>35</v>
      </c>
      <c r="H12" s="64"/>
      <c r="I12" s="64"/>
      <c r="J12" s="65"/>
      <c r="K12" s="52" t="s">
        <v>36</v>
      </c>
      <c r="L12" s="64"/>
      <c r="M12" s="64"/>
      <c r="N12" s="65"/>
      <c r="O12" s="52" t="s">
        <v>37</v>
      </c>
      <c r="P12" s="64"/>
      <c r="Q12" s="65"/>
      <c r="R12" s="52" t="s">
        <v>38</v>
      </c>
      <c r="S12" s="65"/>
      <c r="T12" s="52" t="s">
        <v>39</v>
      </c>
      <c r="U12" s="65"/>
      <c r="V12" s="52" t="s">
        <v>40</v>
      </c>
      <c r="W12" s="65"/>
      <c r="X12" s="52" t="s">
        <v>41</v>
      </c>
      <c r="Y12" s="53"/>
    </row>
    <row r="13" spans="1:25" ht="30" customHeight="1" x14ac:dyDescent="0.25">
      <c r="A13" s="26">
        <v>1</v>
      </c>
      <c r="B13" s="34" t="s">
        <v>155</v>
      </c>
      <c r="C13" s="67" t="s">
        <v>156</v>
      </c>
      <c r="D13" s="68"/>
      <c r="E13" s="68"/>
      <c r="F13" s="69"/>
      <c r="G13" s="67" t="s">
        <v>46</v>
      </c>
      <c r="H13" s="42"/>
      <c r="I13" s="42"/>
      <c r="J13" s="43"/>
      <c r="K13" s="46"/>
      <c r="L13" s="47"/>
      <c r="M13" s="47"/>
      <c r="N13" s="48"/>
      <c r="O13" s="46" t="s">
        <v>229</v>
      </c>
      <c r="P13" s="47"/>
      <c r="Q13" s="48"/>
      <c r="R13" s="49" t="s">
        <v>230</v>
      </c>
      <c r="S13" s="48"/>
      <c r="T13" s="46"/>
      <c r="U13" s="48"/>
      <c r="V13" s="46"/>
      <c r="W13" s="48"/>
      <c r="X13" s="50"/>
      <c r="Y13" s="51"/>
    </row>
    <row r="14" spans="1:25" ht="30" customHeight="1" x14ac:dyDescent="0.25">
      <c r="A14" s="26">
        <v>2</v>
      </c>
      <c r="B14" s="34" t="s">
        <v>145</v>
      </c>
      <c r="C14" s="67" t="s">
        <v>157</v>
      </c>
      <c r="D14" s="68"/>
      <c r="E14" s="68"/>
      <c r="F14" s="69"/>
      <c r="G14" s="67" t="s">
        <v>54</v>
      </c>
      <c r="H14" s="68"/>
      <c r="I14" s="68"/>
      <c r="J14" s="69"/>
      <c r="K14" s="46"/>
      <c r="L14" s="47"/>
      <c r="M14" s="47"/>
      <c r="N14" s="48"/>
      <c r="O14" s="46" t="s">
        <v>229</v>
      </c>
      <c r="P14" s="47"/>
      <c r="Q14" s="48"/>
      <c r="R14" s="46"/>
      <c r="S14" s="48"/>
      <c r="T14" s="49" t="s">
        <v>230</v>
      </c>
      <c r="U14" s="48"/>
      <c r="V14" s="46"/>
      <c r="W14" s="48"/>
      <c r="X14" s="50"/>
      <c r="Y14" s="51"/>
    </row>
    <row r="15" spans="1:25" ht="30" customHeight="1" x14ac:dyDescent="0.25">
      <c r="A15" s="26">
        <v>3</v>
      </c>
      <c r="B15" s="34" t="s">
        <v>287</v>
      </c>
      <c r="C15" s="67" t="s">
        <v>158</v>
      </c>
      <c r="D15" s="68"/>
      <c r="E15" s="68"/>
      <c r="F15" s="69"/>
      <c r="G15" s="67" t="s">
        <v>310</v>
      </c>
      <c r="H15" s="42"/>
      <c r="I15" s="42"/>
      <c r="J15" s="43"/>
      <c r="K15" s="46">
        <v>50</v>
      </c>
      <c r="L15" s="47"/>
      <c r="M15" s="47"/>
      <c r="N15" s="48"/>
      <c r="O15" s="46" t="s">
        <v>229</v>
      </c>
      <c r="P15" s="47"/>
      <c r="Q15" s="48"/>
      <c r="R15" s="46"/>
      <c r="S15" s="48"/>
      <c r="T15" s="46"/>
      <c r="U15" s="48"/>
      <c r="V15" s="46"/>
      <c r="W15" s="48"/>
      <c r="X15" s="50"/>
      <c r="Y15" s="51"/>
    </row>
    <row r="16" spans="1:25" ht="48" customHeight="1" thickBot="1" x14ac:dyDescent="0.3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1:25" ht="54" customHeight="1" thickTop="1" x14ac:dyDescent="0.25">
      <c r="A17" s="20">
        <f>'Invetario de Tablas'!A6</f>
        <v>3</v>
      </c>
      <c r="B17" s="29" t="s">
        <v>28</v>
      </c>
      <c r="C17" s="54" t="str">
        <f>'Invetario de Tablas'!B6</f>
        <v>producto</v>
      </c>
      <c r="D17" s="55"/>
      <c r="E17" s="55"/>
      <c r="F17" s="56"/>
      <c r="G17" s="57" t="s">
        <v>29</v>
      </c>
      <c r="H17" s="58"/>
      <c r="I17" s="58"/>
      <c r="J17" s="59"/>
      <c r="K17" s="60" t="str">
        <f>'Invetario de Tablas'!C6</f>
        <v>Productos derivados de la apicultura.</v>
      </c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2"/>
      <c r="X17" s="21" t="s">
        <v>32</v>
      </c>
      <c r="Y17" s="22"/>
    </row>
    <row r="18" spans="1:25" ht="60" customHeight="1" x14ac:dyDescent="0.25">
      <c r="A18" s="23" t="s">
        <v>1</v>
      </c>
      <c r="B18" s="24" t="s">
        <v>33</v>
      </c>
      <c r="C18" s="52" t="s">
        <v>34</v>
      </c>
      <c r="D18" s="64"/>
      <c r="E18" s="64"/>
      <c r="F18" s="65"/>
      <c r="G18" s="52" t="s">
        <v>35</v>
      </c>
      <c r="H18" s="64"/>
      <c r="I18" s="64"/>
      <c r="J18" s="65"/>
      <c r="K18" s="52" t="s">
        <v>36</v>
      </c>
      <c r="L18" s="64"/>
      <c r="M18" s="64"/>
      <c r="N18" s="65"/>
      <c r="O18" s="52" t="s">
        <v>37</v>
      </c>
      <c r="P18" s="64"/>
      <c r="Q18" s="65"/>
      <c r="R18" s="52" t="s">
        <v>38</v>
      </c>
      <c r="S18" s="65"/>
      <c r="T18" s="52" t="s">
        <v>39</v>
      </c>
      <c r="U18" s="65"/>
      <c r="V18" s="52" t="s">
        <v>40</v>
      </c>
      <c r="W18" s="65"/>
      <c r="X18" s="52" t="s">
        <v>41</v>
      </c>
      <c r="Y18" s="53"/>
    </row>
    <row r="19" spans="1:25" ht="30" customHeight="1" x14ac:dyDescent="0.25">
      <c r="A19" s="26">
        <v>1</v>
      </c>
      <c r="B19" s="34" t="s">
        <v>159</v>
      </c>
      <c r="C19" s="67" t="s">
        <v>161</v>
      </c>
      <c r="D19" s="68"/>
      <c r="E19" s="68"/>
      <c r="F19" s="69"/>
      <c r="G19" s="67" t="s">
        <v>46</v>
      </c>
      <c r="H19" s="42"/>
      <c r="I19" s="42"/>
      <c r="J19" s="43"/>
      <c r="K19" s="46"/>
      <c r="L19" s="47"/>
      <c r="M19" s="47"/>
      <c r="N19" s="48"/>
      <c r="O19" s="46" t="s">
        <v>229</v>
      </c>
      <c r="P19" s="47"/>
      <c r="Q19" s="48"/>
      <c r="R19" s="49" t="s">
        <v>230</v>
      </c>
      <c r="S19" s="48"/>
      <c r="T19" s="46"/>
      <c r="U19" s="48"/>
      <c r="V19" s="46"/>
      <c r="W19" s="48"/>
      <c r="X19" s="50"/>
      <c r="Y19" s="51"/>
    </row>
    <row r="20" spans="1:25" ht="30" customHeight="1" x14ac:dyDescent="0.25">
      <c r="A20" s="26">
        <v>2</v>
      </c>
      <c r="B20" s="34" t="s">
        <v>160</v>
      </c>
      <c r="C20" s="67" t="s">
        <v>162</v>
      </c>
      <c r="D20" s="68"/>
      <c r="E20" s="68"/>
      <c r="F20" s="69"/>
      <c r="G20" s="67" t="s">
        <v>310</v>
      </c>
      <c r="H20" s="68"/>
      <c r="I20" s="68"/>
      <c r="J20" s="69"/>
      <c r="K20" s="46">
        <v>50</v>
      </c>
      <c r="L20" s="47"/>
      <c r="M20" s="47"/>
      <c r="N20" s="48"/>
      <c r="O20" s="46" t="s">
        <v>229</v>
      </c>
      <c r="P20" s="47"/>
      <c r="Q20" s="48"/>
      <c r="R20" s="46"/>
      <c r="S20" s="48"/>
      <c r="T20" s="46"/>
      <c r="U20" s="48"/>
      <c r="V20" s="46"/>
      <c r="W20" s="48"/>
      <c r="X20" s="50"/>
      <c r="Y20" s="51"/>
    </row>
    <row r="21" spans="1:25" ht="30" customHeight="1" x14ac:dyDescent="0.25">
      <c r="A21" s="26">
        <v>3</v>
      </c>
      <c r="B21" s="34" t="s">
        <v>147</v>
      </c>
      <c r="C21" s="67" t="s">
        <v>317</v>
      </c>
      <c r="D21" s="68"/>
      <c r="E21" s="68"/>
      <c r="F21" s="69"/>
      <c r="G21" s="67" t="s">
        <v>62</v>
      </c>
      <c r="H21" s="68"/>
      <c r="I21" s="68"/>
      <c r="J21" s="69"/>
      <c r="K21" s="46"/>
      <c r="L21" s="47"/>
      <c r="M21" s="47"/>
      <c r="N21" s="48"/>
      <c r="O21" s="46" t="s">
        <v>231</v>
      </c>
      <c r="P21" s="47"/>
      <c r="Q21" s="48"/>
      <c r="R21" s="46"/>
      <c r="S21" s="48"/>
      <c r="T21" s="46"/>
      <c r="U21" s="48"/>
      <c r="V21" s="46"/>
      <c r="W21" s="48"/>
      <c r="X21" s="50"/>
      <c r="Y21" s="51"/>
    </row>
    <row r="22" spans="1:25" ht="15.75" customHeight="1" thickBot="1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 ht="54" customHeight="1" thickTop="1" x14ac:dyDescent="0.25">
      <c r="A23" s="20">
        <f>'Invetario de Tablas'!A7</f>
        <v>4</v>
      </c>
      <c r="B23" s="29" t="s">
        <v>28</v>
      </c>
      <c r="C23" s="54" t="str">
        <f>'Invetario de Tablas'!B7</f>
        <v>cosecha</v>
      </c>
      <c r="D23" s="55"/>
      <c r="E23" s="55"/>
      <c r="F23" s="56"/>
      <c r="G23" s="57" t="s">
        <v>29</v>
      </c>
      <c r="H23" s="58"/>
      <c r="I23" s="58"/>
      <c r="J23" s="59"/>
      <c r="K23" s="60" t="str">
        <f>'Invetario de Tablas'!C7</f>
        <v>Temporada o fecha donde se obtiene la producción.</v>
      </c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2"/>
      <c r="X23" s="21" t="s">
        <v>32</v>
      </c>
      <c r="Y23" s="22"/>
    </row>
    <row r="24" spans="1:25" ht="60" customHeight="1" x14ac:dyDescent="0.25">
      <c r="A24" s="23" t="s">
        <v>1</v>
      </c>
      <c r="B24" s="24" t="s">
        <v>33</v>
      </c>
      <c r="C24" s="52" t="s">
        <v>34</v>
      </c>
      <c r="D24" s="64"/>
      <c r="E24" s="64"/>
      <c r="F24" s="65"/>
      <c r="G24" s="52" t="s">
        <v>35</v>
      </c>
      <c r="H24" s="64"/>
      <c r="I24" s="64"/>
      <c r="J24" s="65"/>
      <c r="K24" s="52" t="s">
        <v>36</v>
      </c>
      <c r="L24" s="64"/>
      <c r="M24" s="64"/>
      <c r="N24" s="65"/>
      <c r="O24" s="52" t="s">
        <v>37</v>
      </c>
      <c r="P24" s="64"/>
      <c r="Q24" s="65"/>
      <c r="R24" s="52" t="s">
        <v>38</v>
      </c>
      <c r="S24" s="65"/>
      <c r="T24" s="52" t="s">
        <v>39</v>
      </c>
      <c r="U24" s="65"/>
      <c r="V24" s="52" t="s">
        <v>40</v>
      </c>
      <c r="W24" s="65"/>
      <c r="X24" s="52" t="s">
        <v>41</v>
      </c>
      <c r="Y24" s="53"/>
    </row>
    <row r="25" spans="1:25" ht="30" customHeight="1" x14ac:dyDescent="0.25">
      <c r="A25" s="26">
        <v>1</v>
      </c>
      <c r="B25" s="34" t="s">
        <v>163</v>
      </c>
      <c r="C25" s="67" t="s">
        <v>167</v>
      </c>
      <c r="D25" s="68"/>
      <c r="E25" s="68"/>
      <c r="F25" s="69"/>
      <c r="G25" s="67" t="s">
        <v>46</v>
      </c>
      <c r="H25" s="42"/>
      <c r="I25" s="42"/>
      <c r="J25" s="43"/>
      <c r="K25" s="46"/>
      <c r="L25" s="47"/>
      <c r="M25" s="47"/>
      <c r="N25" s="48"/>
      <c r="O25" s="46" t="s">
        <v>229</v>
      </c>
      <c r="P25" s="47"/>
      <c r="Q25" s="48"/>
      <c r="R25" s="49" t="s">
        <v>230</v>
      </c>
      <c r="S25" s="48"/>
      <c r="T25" s="46"/>
      <c r="U25" s="48"/>
      <c r="V25" s="46"/>
      <c r="W25" s="48"/>
      <c r="X25" s="50"/>
      <c r="Y25" s="51"/>
    </row>
    <row r="26" spans="1:25" ht="30" customHeight="1" x14ac:dyDescent="0.25">
      <c r="A26" s="26">
        <v>2</v>
      </c>
      <c r="B26" s="34" t="s">
        <v>155</v>
      </c>
      <c r="C26" s="67" t="s">
        <v>166</v>
      </c>
      <c r="D26" s="68"/>
      <c r="E26" s="68"/>
      <c r="F26" s="69"/>
      <c r="G26" s="67" t="s">
        <v>54</v>
      </c>
      <c r="H26" s="68"/>
      <c r="I26" s="68"/>
      <c r="J26" s="69"/>
      <c r="K26" s="46"/>
      <c r="L26" s="47"/>
      <c r="M26" s="47"/>
      <c r="N26" s="48"/>
      <c r="O26" s="46" t="s">
        <v>229</v>
      </c>
      <c r="P26" s="47"/>
      <c r="Q26" s="48"/>
      <c r="R26" s="46"/>
      <c r="S26" s="48"/>
      <c r="T26" s="49" t="s">
        <v>230</v>
      </c>
      <c r="U26" s="48"/>
      <c r="V26" s="46"/>
      <c r="W26" s="48"/>
      <c r="X26" s="50"/>
      <c r="Y26" s="51"/>
    </row>
    <row r="27" spans="1:25" ht="30" customHeight="1" x14ac:dyDescent="0.25">
      <c r="A27" s="26">
        <v>3</v>
      </c>
      <c r="B27" s="34" t="s">
        <v>164</v>
      </c>
      <c r="C27" s="67" t="s">
        <v>165</v>
      </c>
      <c r="D27" s="68"/>
      <c r="E27" s="68"/>
      <c r="F27" s="69"/>
      <c r="G27" s="67" t="s">
        <v>66</v>
      </c>
      <c r="H27" s="68"/>
      <c r="I27" s="68"/>
      <c r="J27" s="69"/>
      <c r="K27" s="46"/>
      <c r="L27" s="47"/>
      <c r="M27" s="47"/>
      <c r="N27" s="48"/>
      <c r="O27" s="46" t="s">
        <v>229</v>
      </c>
      <c r="P27" s="47"/>
      <c r="Q27" s="48"/>
      <c r="R27" s="46"/>
      <c r="S27" s="48"/>
      <c r="T27" s="46"/>
      <c r="U27" s="48"/>
      <c r="V27" s="46"/>
      <c r="W27" s="48"/>
      <c r="X27" s="50"/>
      <c r="Y27" s="51"/>
    </row>
    <row r="28" spans="1:25" ht="48" customHeight="1" thickBot="1" x14ac:dyDescent="0.3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54" customHeight="1" thickTop="1" x14ac:dyDescent="0.25">
      <c r="A29" s="20">
        <f>'Invetario de Tablas'!A8</f>
        <v>5</v>
      </c>
      <c r="B29" s="29" t="s">
        <v>28</v>
      </c>
      <c r="C29" s="54" t="str">
        <f>'Invetario de Tablas'!B8</f>
        <v>pedido</v>
      </c>
      <c r="D29" s="55"/>
      <c r="E29" s="55"/>
      <c r="F29" s="56"/>
      <c r="G29" s="57" t="s">
        <v>29</v>
      </c>
      <c r="H29" s="58"/>
      <c r="I29" s="58"/>
      <c r="J29" s="59"/>
      <c r="K29" s="60" t="str">
        <f>'Invetario de Tablas'!C8</f>
        <v>Solicitud realizada por un consumidor.</v>
      </c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2"/>
      <c r="X29" s="21" t="s">
        <v>32</v>
      </c>
      <c r="Y29" s="22"/>
    </row>
    <row r="30" spans="1:25" ht="60" customHeight="1" x14ac:dyDescent="0.25">
      <c r="A30" s="23" t="s">
        <v>1</v>
      </c>
      <c r="B30" s="24" t="s">
        <v>33</v>
      </c>
      <c r="C30" s="52" t="s">
        <v>34</v>
      </c>
      <c r="D30" s="64"/>
      <c r="E30" s="64"/>
      <c r="F30" s="65"/>
      <c r="G30" s="52" t="s">
        <v>35</v>
      </c>
      <c r="H30" s="64"/>
      <c r="I30" s="64"/>
      <c r="J30" s="65"/>
      <c r="K30" s="52" t="s">
        <v>36</v>
      </c>
      <c r="L30" s="64"/>
      <c r="M30" s="64"/>
      <c r="N30" s="65"/>
      <c r="O30" s="52" t="s">
        <v>37</v>
      </c>
      <c r="P30" s="64"/>
      <c r="Q30" s="65"/>
      <c r="R30" s="52" t="s">
        <v>38</v>
      </c>
      <c r="S30" s="65"/>
      <c r="T30" s="52" t="s">
        <v>39</v>
      </c>
      <c r="U30" s="65"/>
      <c r="V30" s="52" t="s">
        <v>40</v>
      </c>
      <c r="W30" s="65"/>
      <c r="X30" s="52" t="s">
        <v>41</v>
      </c>
      <c r="Y30" s="53"/>
    </row>
    <row r="31" spans="1:25" ht="30" customHeight="1" x14ac:dyDescent="0.25">
      <c r="A31" s="35">
        <v>1</v>
      </c>
      <c r="B31" s="36" t="s">
        <v>168</v>
      </c>
      <c r="C31" s="46" t="s">
        <v>169</v>
      </c>
      <c r="D31" s="47"/>
      <c r="E31" s="47"/>
      <c r="F31" s="48"/>
      <c r="G31" s="67" t="s">
        <v>46</v>
      </c>
      <c r="H31" s="42"/>
      <c r="I31" s="42"/>
      <c r="J31" s="43"/>
      <c r="K31" s="46"/>
      <c r="L31" s="47"/>
      <c r="M31" s="47"/>
      <c r="N31" s="48"/>
      <c r="O31" s="46" t="s">
        <v>229</v>
      </c>
      <c r="P31" s="47"/>
      <c r="Q31" s="48"/>
      <c r="R31" s="49" t="s">
        <v>230</v>
      </c>
      <c r="S31" s="48"/>
      <c r="T31" s="46"/>
      <c r="U31" s="48"/>
      <c r="V31" s="49" t="s">
        <v>230</v>
      </c>
      <c r="W31" s="48"/>
      <c r="X31" s="50"/>
      <c r="Y31" s="51"/>
    </row>
    <row r="32" spans="1:25" ht="30" customHeight="1" x14ac:dyDescent="0.25">
      <c r="A32" s="35">
        <v>2</v>
      </c>
      <c r="B32" s="36" t="s">
        <v>170</v>
      </c>
      <c r="C32" s="46" t="s">
        <v>171</v>
      </c>
      <c r="D32" s="47"/>
      <c r="E32" s="47"/>
      <c r="F32" s="48"/>
      <c r="G32" s="67" t="s">
        <v>54</v>
      </c>
      <c r="H32" s="68"/>
      <c r="I32" s="68"/>
      <c r="J32" s="69"/>
      <c r="K32" s="46"/>
      <c r="L32" s="47"/>
      <c r="M32" s="47"/>
      <c r="N32" s="48"/>
      <c r="O32" s="46" t="s">
        <v>229</v>
      </c>
      <c r="P32" s="47"/>
      <c r="Q32" s="48"/>
      <c r="R32" s="46"/>
      <c r="S32" s="48"/>
      <c r="T32" s="49" t="s">
        <v>230</v>
      </c>
      <c r="U32" s="48"/>
      <c r="V32" s="46"/>
      <c r="W32" s="48"/>
      <c r="X32" s="50"/>
      <c r="Y32" s="51"/>
    </row>
    <row r="33" spans="1:25" ht="30" customHeight="1" x14ac:dyDescent="0.25">
      <c r="A33" s="35">
        <v>3</v>
      </c>
      <c r="B33" s="36" t="s">
        <v>164</v>
      </c>
      <c r="C33" s="46" t="s">
        <v>172</v>
      </c>
      <c r="D33" s="47"/>
      <c r="E33" s="47"/>
      <c r="F33" s="48"/>
      <c r="G33" s="67" t="s">
        <v>66</v>
      </c>
      <c r="H33" s="68"/>
      <c r="I33" s="68"/>
      <c r="J33" s="69"/>
      <c r="K33" s="46"/>
      <c r="L33" s="47"/>
      <c r="M33" s="47"/>
      <c r="N33" s="48"/>
      <c r="O33" s="46" t="s">
        <v>229</v>
      </c>
      <c r="P33" s="47"/>
      <c r="Q33" s="48"/>
      <c r="R33" s="46"/>
      <c r="S33" s="48"/>
      <c r="T33" s="46"/>
      <c r="U33" s="48"/>
      <c r="V33" s="46"/>
      <c r="W33" s="48"/>
      <c r="X33" s="50"/>
      <c r="Y33" s="51"/>
    </row>
    <row r="34" spans="1:25" ht="48" customHeight="1" thickBot="1" x14ac:dyDescent="0.3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54" customHeight="1" thickTop="1" x14ac:dyDescent="0.25">
      <c r="A35" s="20">
        <f>'Invetario de Tablas'!A9</f>
        <v>6</v>
      </c>
      <c r="B35" s="29" t="s">
        <v>28</v>
      </c>
      <c r="C35" s="54" t="str">
        <f>'Invetario de Tablas'!B9</f>
        <v>detalle_pedido</v>
      </c>
      <c r="D35" s="55"/>
      <c r="E35" s="55"/>
      <c r="F35" s="56"/>
      <c r="G35" s="57" t="s">
        <v>29</v>
      </c>
      <c r="H35" s="58"/>
      <c r="I35" s="58"/>
      <c r="J35" s="59"/>
      <c r="K35" s="60" t="str">
        <f>'Invetario de Tablas'!C9</f>
        <v>Información específica de cada producto solicitado.</v>
      </c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2"/>
      <c r="X35" s="21" t="s">
        <v>32</v>
      </c>
      <c r="Y35" s="22"/>
    </row>
    <row r="36" spans="1:25" ht="60" customHeight="1" x14ac:dyDescent="0.25">
      <c r="A36" s="23" t="s">
        <v>1</v>
      </c>
      <c r="B36" s="24" t="s">
        <v>33</v>
      </c>
      <c r="C36" s="52" t="s">
        <v>34</v>
      </c>
      <c r="D36" s="64"/>
      <c r="E36" s="64"/>
      <c r="F36" s="65"/>
      <c r="G36" s="52" t="s">
        <v>35</v>
      </c>
      <c r="H36" s="64"/>
      <c r="I36" s="64"/>
      <c r="J36" s="65"/>
      <c r="K36" s="52" t="s">
        <v>36</v>
      </c>
      <c r="L36" s="64"/>
      <c r="M36" s="64"/>
      <c r="N36" s="65"/>
      <c r="O36" s="52" t="s">
        <v>37</v>
      </c>
      <c r="P36" s="64"/>
      <c r="Q36" s="65"/>
      <c r="R36" s="52" t="s">
        <v>38</v>
      </c>
      <c r="S36" s="65"/>
      <c r="T36" s="52" t="s">
        <v>39</v>
      </c>
      <c r="U36" s="65"/>
      <c r="V36" s="52" t="s">
        <v>40</v>
      </c>
      <c r="W36" s="65"/>
      <c r="X36" s="52" t="s">
        <v>41</v>
      </c>
      <c r="Y36" s="53"/>
    </row>
    <row r="37" spans="1:25" ht="30" customHeight="1" x14ac:dyDescent="0.25">
      <c r="A37" s="35">
        <v>1</v>
      </c>
      <c r="B37" s="36" t="s">
        <v>168</v>
      </c>
      <c r="C37" s="46" t="s">
        <v>173</v>
      </c>
      <c r="D37" s="47"/>
      <c r="E37" s="47"/>
      <c r="F37" s="48"/>
      <c r="G37" s="67" t="s">
        <v>54</v>
      </c>
      <c r="H37" s="68"/>
      <c r="I37" s="68"/>
      <c r="J37" s="69"/>
      <c r="K37" s="46"/>
      <c r="L37" s="47"/>
      <c r="M37" s="47"/>
      <c r="N37" s="48"/>
      <c r="O37" s="46" t="s">
        <v>229</v>
      </c>
      <c r="P37" s="47"/>
      <c r="Q37" s="48"/>
      <c r="R37" s="49" t="s">
        <v>230</v>
      </c>
      <c r="S37" s="48"/>
      <c r="T37" s="49" t="s">
        <v>230</v>
      </c>
      <c r="U37" s="48"/>
      <c r="V37" s="46"/>
      <c r="W37" s="48"/>
      <c r="X37" s="50"/>
      <c r="Y37" s="51"/>
    </row>
    <row r="38" spans="1:25" ht="30" customHeight="1" x14ac:dyDescent="0.25">
      <c r="A38" s="35">
        <v>2</v>
      </c>
      <c r="B38" s="36" t="s">
        <v>174</v>
      </c>
      <c r="C38" s="46" t="s">
        <v>175</v>
      </c>
      <c r="D38" s="47"/>
      <c r="E38" s="47"/>
      <c r="F38" s="48"/>
      <c r="G38" s="67" t="s">
        <v>54</v>
      </c>
      <c r="H38" s="68"/>
      <c r="I38" s="68"/>
      <c r="J38" s="69"/>
      <c r="K38" s="46"/>
      <c r="L38" s="47"/>
      <c r="M38" s="47"/>
      <c r="N38" s="48"/>
      <c r="O38" s="46" t="s">
        <v>229</v>
      </c>
      <c r="P38" s="47"/>
      <c r="Q38" s="48"/>
      <c r="R38" s="49" t="s">
        <v>230</v>
      </c>
      <c r="S38" s="48"/>
      <c r="T38" s="49" t="s">
        <v>230</v>
      </c>
      <c r="U38" s="48"/>
      <c r="V38" s="46"/>
      <c r="W38" s="48"/>
      <c r="X38" s="50"/>
      <c r="Y38" s="51"/>
    </row>
    <row r="39" spans="1:25" ht="30" customHeight="1" x14ac:dyDescent="0.25">
      <c r="A39" s="35">
        <v>3</v>
      </c>
      <c r="B39" s="36" t="s">
        <v>176</v>
      </c>
      <c r="C39" s="46" t="s">
        <v>177</v>
      </c>
      <c r="D39" s="47"/>
      <c r="E39" s="47"/>
      <c r="F39" s="48"/>
      <c r="G39" s="67" t="s">
        <v>54</v>
      </c>
      <c r="H39" s="68"/>
      <c r="I39" s="68"/>
      <c r="J39" s="69"/>
      <c r="K39" s="46"/>
      <c r="L39" s="47"/>
      <c r="M39" s="47"/>
      <c r="N39" s="48"/>
      <c r="O39" s="46" t="s">
        <v>229</v>
      </c>
      <c r="P39" s="47"/>
      <c r="Q39" s="48"/>
      <c r="R39" s="46"/>
      <c r="S39" s="48"/>
      <c r="T39" s="46"/>
      <c r="U39" s="48"/>
      <c r="V39" s="46"/>
      <c r="W39" s="48"/>
      <c r="X39" s="50"/>
      <c r="Y39" s="51"/>
    </row>
    <row r="40" spans="1:25" ht="48" customHeight="1" thickBot="1" x14ac:dyDescent="0.3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spans="1:25" ht="54" customHeight="1" thickTop="1" x14ac:dyDescent="0.25">
      <c r="A41" s="20">
        <f>'Invetario de Tablas'!A10</f>
        <v>7</v>
      </c>
      <c r="B41" s="29" t="s">
        <v>28</v>
      </c>
      <c r="C41" s="54" t="str">
        <f>'Invetario de Tablas'!B10</f>
        <v>sensor</v>
      </c>
      <c r="D41" s="55"/>
      <c r="E41" s="55"/>
      <c r="F41" s="56"/>
      <c r="G41" s="57" t="s">
        <v>29</v>
      </c>
      <c r="H41" s="58"/>
      <c r="I41" s="58"/>
      <c r="J41" s="59"/>
      <c r="K41" s="60" t="str">
        <f>'Invetario de Tablas'!C10</f>
        <v>Sensores que registran variables ambientales.</v>
      </c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2"/>
      <c r="X41" s="21" t="s">
        <v>32</v>
      </c>
      <c r="Y41" s="22"/>
    </row>
    <row r="42" spans="1:25" ht="60" customHeight="1" x14ac:dyDescent="0.25">
      <c r="A42" s="23" t="s">
        <v>1</v>
      </c>
      <c r="B42" s="24" t="s">
        <v>33</v>
      </c>
      <c r="C42" s="52" t="s">
        <v>34</v>
      </c>
      <c r="D42" s="64"/>
      <c r="E42" s="64"/>
      <c r="F42" s="65"/>
      <c r="G42" s="52" t="s">
        <v>35</v>
      </c>
      <c r="H42" s="64"/>
      <c r="I42" s="64"/>
      <c r="J42" s="65"/>
      <c r="K42" s="52" t="s">
        <v>36</v>
      </c>
      <c r="L42" s="64"/>
      <c r="M42" s="64"/>
      <c r="N42" s="65"/>
      <c r="O42" s="52" t="s">
        <v>37</v>
      </c>
      <c r="P42" s="64"/>
      <c r="Q42" s="65"/>
      <c r="R42" s="52" t="s">
        <v>38</v>
      </c>
      <c r="S42" s="65"/>
      <c r="T42" s="52" t="s">
        <v>39</v>
      </c>
      <c r="U42" s="65"/>
      <c r="V42" s="52" t="s">
        <v>40</v>
      </c>
      <c r="W42" s="65"/>
      <c r="X42" s="52" t="s">
        <v>41</v>
      </c>
      <c r="Y42" s="53"/>
    </row>
    <row r="43" spans="1:25" ht="30" customHeight="1" x14ac:dyDescent="0.25">
      <c r="A43" s="35">
        <v>1</v>
      </c>
      <c r="B43" s="36" t="s">
        <v>178</v>
      </c>
      <c r="C43" s="46" t="s">
        <v>179</v>
      </c>
      <c r="D43" s="47"/>
      <c r="E43" s="47"/>
      <c r="F43" s="48"/>
      <c r="G43" s="67" t="s">
        <v>46</v>
      </c>
      <c r="H43" s="42"/>
      <c r="I43" s="42"/>
      <c r="J43" s="43"/>
      <c r="K43" s="46"/>
      <c r="L43" s="47"/>
      <c r="M43" s="47"/>
      <c r="N43" s="48"/>
      <c r="O43" s="46" t="s">
        <v>229</v>
      </c>
      <c r="P43" s="47"/>
      <c r="Q43" s="48"/>
      <c r="R43" s="49" t="s">
        <v>230</v>
      </c>
      <c r="S43" s="48"/>
      <c r="T43" s="46"/>
      <c r="U43" s="48"/>
      <c r="V43" s="49" t="s">
        <v>230</v>
      </c>
      <c r="W43" s="48"/>
      <c r="X43" s="50"/>
      <c r="Y43" s="51"/>
    </row>
    <row r="44" spans="1:25" ht="30" customHeight="1" x14ac:dyDescent="0.25">
      <c r="A44" s="35">
        <v>2</v>
      </c>
      <c r="B44" s="36" t="s">
        <v>180</v>
      </c>
      <c r="C44" s="46" t="s">
        <v>181</v>
      </c>
      <c r="D44" s="47"/>
      <c r="E44" s="47"/>
      <c r="F44" s="48"/>
      <c r="G44" s="67" t="s">
        <v>310</v>
      </c>
      <c r="H44" s="68"/>
      <c r="I44" s="68"/>
      <c r="J44" s="69"/>
      <c r="K44" s="46">
        <v>50</v>
      </c>
      <c r="L44" s="47"/>
      <c r="M44" s="47"/>
      <c r="N44" s="48"/>
      <c r="O44" s="46" t="s">
        <v>229</v>
      </c>
      <c r="P44" s="47"/>
      <c r="Q44" s="48"/>
      <c r="R44" s="46"/>
      <c r="S44" s="48"/>
      <c r="T44" s="46"/>
      <c r="U44" s="48"/>
      <c r="V44" s="46"/>
      <c r="W44" s="48"/>
      <c r="X44" s="50"/>
      <c r="Y44" s="51"/>
    </row>
    <row r="45" spans="1:25" ht="48" customHeight="1" thickBot="1" x14ac:dyDescent="0.3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54" customHeight="1" thickTop="1" x14ac:dyDescent="0.25">
      <c r="A46" s="20">
        <f>'Invetario de Tablas'!A11</f>
        <v>8</v>
      </c>
      <c r="B46" s="29" t="s">
        <v>28</v>
      </c>
      <c r="C46" s="54" t="str">
        <f>'Invetario de Tablas'!B11</f>
        <v>medicion_ambiental</v>
      </c>
      <c r="D46" s="55"/>
      <c r="E46" s="55"/>
      <c r="F46" s="56"/>
      <c r="G46" s="57" t="s">
        <v>29</v>
      </c>
      <c r="H46" s="58"/>
      <c r="I46" s="58"/>
      <c r="J46" s="59"/>
      <c r="K46" s="60" t="str">
        <f>'Invetario de Tablas'!C11</f>
        <v>Registro de datos ambientales.</v>
      </c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2"/>
      <c r="X46" s="21" t="s">
        <v>32</v>
      </c>
      <c r="Y46" s="22"/>
    </row>
    <row r="47" spans="1:25" ht="60" customHeight="1" x14ac:dyDescent="0.25">
      <c r="A47" s="23" t="s">
        <v>1</v>
      </c>
      <c r="B47" s="24" t="s">
        <v>33</v>
      </c>
      <c r="C47" s="52" t="s">
        <v>34</v>
      </c>
      <c r="D47" s="64"/>
      <c r="E47" s="64"/>
      <c r="F47" s="65"/>
      <c r="G47" s="52" t="s">
        <v>35</v>
      </c>
      <c r="H47" s="64"/>
      <c r="I47" s="64"/>
      <c r="J47" s="65"/>
      <c r="K47" s="52" t="s">
        <v>36</v>
      </c>
      <c r="L47" s="64"/>
      <c r="M47" s="64"/>
      <c r="N47" s="65"/>
      <c r="O47" s="52" t="s">
        <v>37</v>
      </c>
      <c r="P47" s="64"/>
      <c r="Q47" s="65"/>
      <c r="R47" s="52" t="s">
        <v>38</v>
      </c>
      <c r="S47" s="65"/>
      <c r="T47" s="52" t="s">
        <v>39</v>
      </c>
      <c r="U47" s="65"/>
      <c r="V47" s="52" t="s">
        <v>40</v>
      </c>
      <c r="W47" s="65"/>
      <c r="X47" s="52" t="s">
        <v>41</v>
      </c>
      <c r="Y47" s="53"/>
    </row>
    <row r="48" spans="1:25" ht="30" customHeight="1" x14ac:dyDescent="0.25">
      <c r="A48" s="35">
        <v>1</v>
      </c>
      <c r="B48" s="36" t="s">
        <v>182</v>
      </c>
      <c r="C48" s="46" t="s">
        <v>183</v>
      </c>
      <c r="D48" s="47"/>
      <c r="E48" s="47"/>
      <c r="F48" s="48"/>
      <c r="G48" s="67" t="s">
        <v>46</v>
      </c>
      <c r="H48" s="42"/>
      <c r="I48" s="42"/>
      <c r="J48" s="43"/>
      <c r="K48" s="46"/>
      <c r="L48" s="47"/>
      <c r="M48" s="47"/>
      <c r="N48" s="48"/>
      <c r="O48" s="46" t="s">
        <v>229</v>
      </c>
      <c r="P48" s="47"/>
      <c r="Q48" s="48"/>
      <c r="R48" s="49" t="s">
        <v>230</v>
      </c>
      <c r="S48" s="48"/>
      <c r="T48" s="46"/>
      <c r="U48" s="48"/>
      <c r="V48" s="49" t="s">
        <v>230</v>
      </c>
      <c r="W48" s="48"/>
      <c r="X48" s="50"/>
      <c r="Y48" s="51"/>
    </row>
    <row r="49" spans="1:25" ht="30" customHeight="1" x14ac:dyDescent="0.25">
      <c r="A49" s="35">
        <v>2</v>
      </c>
      <c r="B49" s="36" t="s">
        <v>178</v>
      </c>
      <c r="C49" s="46" t="s">
        <v>184</v>
      </c>
      <c r="D49" s="47"/>
      <c r="E49" s="47"/>
      <c r="F49" s="48"/>
      <c r="G49" s="67" t="s">
        <v>54</v>
      </c>
      <c r="H49" s="68"/>
      <c r="I49" s="68"/>
      <c r="J49" s="69"/>
      <c r="K49" s="46"/>
      <c r="L49" s="47"/>
      <c r="M49" s="47"/>
      <c r="N49" s="48"/>
      <c r="O49" s="46" t="s">
        <v>229</v>
      </c>
      <c r="P49" s="47"/>
      <c r="Q49" s="48"/>
      <c r="R49" s="46"/>
      <c r="S49" s="48"/>
      <c r="T49" s="49" t="s">
        <v>230</v>
      </c>
      <c r="U49" s="48"/>
      <c r="V49" s="46"/>
      <c r="W49" s="48"/>
      <c r="X49" s="50"/>
      <c r="Y49" s="51"/>
    </row>
    <row r="50" spans="1:25" ht="30" customHeight="1" x14ac:dyDescent="0.25">
      <c r="A50" s="35">
        <v>3</v>
      </c>
      <c r="B50" s="36" t="s">
        <v>185</v>
      </c>
      <c r="C50" s="46" t="s">
        <v>186</v>
      </c>
      <c r="D50" s="47"/>
      <c r="E50" s="47"/>
      <c r="F50" s="48"/>
      <c r="G50" s="67" t="s">
        <v>11</v>
      </c>
      <c r="H50" s="68"/>
      <c r="I50" s="68"/>
      <c r="J50" s="69"/>
      <c r="K50" s="46" t="s">
        <v>313</v>
      </c>
      <c r="L50" s="47"/>
      <c r="M50" s="47"/>
      <c r="N50" s="48"/>
      <c r="O50" s="46" t="s">
        <v>229</v>
      </c>
      <c r="P50" s="47"/>
      <c r="Q50" s="48"/>
      <c r="R50" s="46"/>
      <c r="S50" s="48"/>
      <c r="T50" s="46"/>
      <c r="U50" s="48"/>
      <c r="V50" s="46"/>
      <c r="W50" s="48"/>
      <c r="X50" s="50"/>
      <c r="Y50" s="51"/>
    </row>
    <row r="51" spans="1:25" ht="30" customHeight="1" x14ac:dyDescent="0.25">
      <c r="A51" s="35">
        <v>4</v>
      </c>
      <c r="B51" s="36" t="s">
        <v>187</v>
      </c>
      <c r="C51" s="46" t="s">
        <v>188</v>
      </c>
      <c r="D51" s="47"/>
      <c r="E51" s="47"/>
      <c r="F51" s="48"/>
      <c r="G51" s="67" t="s">
        <v>11</v>
      </c>
      <c r="H51" s="68"/>
      <c r="I51" s="68"/>
      <c r="J51" s="69"/>
      <c r="K51" s="46" t="s">
        <v>313</v>
      </c>
      <c r="L51" s="47"/>
      <c r="M51" s="47"/>
      <c r="N51" s="48"/>
      <c r="O51" s="46" t="s">
        <v>229</v>
      </c>
      <c r="P51" s="47"/>
      <c r="Q51" s="48"/>
      <c r="R51" s="46"/>
      <c r="S51" s="48"/>
      <c r="T51" s="46"/>
      <c r="U51" s="48"/>
      <c r="V51" s="46"/>
      <c r="W51" s="48"/>
      <c r="X51" s="50"/>
      <c r="Y51" s="51"/>
    </row>
    <row r="52" spans="1:25" ht="30" customHeight="1" x14ac:dyDescent="0.25">
      <c r="A52" s="35">
        <v>5</v>
      </c>
      <c r="B52" s="36" t="s">
        <v>189</v>
      </c>
      <c r="C52" s="46" t="s">
        <v>190</v>
      </c>
      <c r="D52" s="47"/>
      <c r="E52" s="47"/>
      <c r="F52" s="48"/>
      <c r="G52" s="67" t="s">
        <v>68</v>
      </c>
      <c r="H52" s="68"/>
      <c r="I52" s="68"/>
      <c r="J52" s="69"/>
      <c r="K52" s="46"/>
      <c r="L52" s="47"/>
      <c r="M52" s="47"/>
      <c r="N52" s="48"/>
      <c r="O52" s="46" t="s">
        <v>229</v>
      </c>
      <c r="P52" s="47"/>
      <c r="Q52" s="48"/>
      <c r="R52" s="46"/>
      <c r="S52" s="48"/>
      <c r="T52" s="46"/>
      <c r="U52" s="48"/>
      <c r="V52" s="46"/>
      <c r="W52" s="48"/>
      <c r="X52" s="50"/>
      <c r="Y52" s="51"/>
    </row>
    <row r="53" spans="1:25" ht="48" customHeight="1" thickBot="1" x14ac:dyDescent="0.3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54" customHeight="1" thickTop="1" x14ac:dyDescent="0.25">
      <c r="A54" s="20">
        <f>'Invetario de Tablas'!A12</f>
        <v>9</v>
      </c>
      <c r="B54" s="29" t="s">
        <v>28</v>
      </c>
      <c r="C54" s="54" t="str">
        <f>'Invetario de Tablas'!B12</f>
        <v>alerta</v>
      </c>
      <c r="D54" s="55"/>
      <c r="E54" s="55"/>
      <c r="F54" s="56"/>
      <c r="G54" s="57" t="s">
        <v>29</v>
      </c>
      <c r="H54" s="58"/>
      <c r="I54" s="58"/>
      <c r="J54" s="59"/>
      <c r="K54" s="60" t="str">
        <f>'Invetario de Tablas'!C12</f>
        <v>Notificación generada por el sistema.</v>
      </c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2"/>
      <c r="X54" s="21" t="s">
        <v>32</v>
      </c>
      <c r="Y54" s="22"/>
    </row>
    <row r="55" spans="1:25" ht="60" customHeight="1" x14ac:dyDescent="0.25">
      <c r="A55" s="23" t="s">
        <v>1</v>
      </c>
      <c r="B55" s="24" t="s">
        <v>33</v>
      </c>
      <c r="C55" s="52" t="s">
        <v>34</v>
      </c>
      <c r="D55" s="64"/>
      <c r="E55" s="64"/>
      <c r="F55" s="65"/>
      <c r="G55" s="52" t="s">
        <v>35</v>
      </c>
      <c r="H55" s="64"/>
      <c r="I55" s="64"/>
      <c r="J55" s="65"/>
      <c r="K55" s="52" t="s">
        <v>36</v>
      </c>
      <c r="L55" s="64"/>
      <c r="M55" s="64"/>
      <c r="N55" s="65"/>
      <c r="O55" s="52" t="s">
        <v>37</v>
      </c>
      <c r="P55" s="64"/>
      <c r="Q55" s="65"/>
      <c r="R55" s="52" t="s">
        <v>38</v>
      </c>
      <c r="S55" s="65"/>
      <c r="T55" s="52" t="s">
        <v>39</v>
      </c>
      <c r="U55" s="65"/>
      <c r="V55" s="52" t="s">
        <v>40</v>
      </c>
      <c r="W55" s="65"/>
      <c r="X55" s="52" t="s">
        <v>41</v>
      </c>
      <c r="Y55" s="53"/>
    </row>
    <row r="56" spans="1:25" ht="30" customHeight="1" x14ac:dyDescent="0.25">
      <c r="A56" s="35">
        <v>1</v>
      </c>
      <c r="B56" s="36" t="s">
        <v>191</v>
      </c>
      <c r="C56" s="46" t="s">
        <v>192</v>
      </c>
      <c r="D56" s="47"/>
      <c r="E56" s="47"/>
      <c r="F56" s="48"/>
      <c r="G56" s="67" t="s">
        <v>46</v>
      </c>
      <c r="H56" s="42"/>
      <c r="I56" s="42"/>
      <c r="J56" s="43"/>
      <c r="K56" s="46"/>
      <c r="L56" s="47"/>
      <c r="M56" s="47"/>
      <c r="N56" s="48"/>
      <c r="O56" s="46" t="s">
        <v>229</v>
      </c>
      <c r="P56" s="47"/>
      <c r="Q56" s="48"/>
      <c r="R56" s="49" t="s">
        <v>230</v>
      </c>
      <c r="S56" s="48"/>
      <c r="T56" s="46"/>
      <c r="U56" s="48"/>
      <c r="V56" s="49" t="s">
        <v>230</v>
      </c>
      <c r="W56" s="48"/>
      <c r="X56" s="50"/>
      <c r="Y56" s="51"/>
    </row>
    <row r="57" spans="1:25" ht="30" customHeight="1" x14ac:dyDescent="0.25">
      <c r="A57" s="35">
        <v>2</v>
      </c>
      <c r="B57" s="36" t="s">
        <v>182</v>
      </c>
      <c r="C57" s="46" t="s">
        <v>193</v>
      </c>
      <c r="D57" s="47"/>
      <c r="E57" s="47"/>
      <c r="F57" s="48"/>
      <c r="G57" s="67" t="s">
        <v>54</v>
      </c>
      <c r="H57" s="68"/>
      <c r="I57" s="68"/>
      <c r="J57" s="69"/>
      <c r="K57" s="46"/>
      <c r="L57" s="47"/>
      <c r="M57" s="47"/>
      <c r="N57" s="48"/>
      <c r="O57" s="46" t="s">
        <v>229</v>
      </c>
      <c r="P57" s="47"/>
      <c r="Q57" s="48"/>
      <c r="R57" s="46"/>
      <c r="S57" s="48"/>
      <c r="T57" s="49" t="s">
        <v>230</v>
      </c>
      <c r="U57" s="48"/>
      <c r="V57" s="46"/>
      <c r="W57" s="48"/>
      <c r="X57" s="50"/>
      <c r="Y57" s="51"/>
    </row>
    <row r="58" spans="1:25" ht="30" customHeight="1" x14ac:dyDescent="0.25">
      <c r="A58" s="35">
        <v>3</v>
      </c>
      <c r="B58" s="36" t="s">
        <v>194</v>
      </c>
      <c r="C58" s="46" t="s">
        <v>195</v>
      </c>
      <c r="D58" s="47"/>
      <c r="E58" s="47"/>
      <c r="F58" s="48"/>
      <c r="G58" s="67" t="s">
        <v>310</v>
      </c>
      <c r="H58" s="68"/>
      <c r="I58" s="68"/>
      <c r="J58" s="69"/>
      <c r="K58" s="46">
        <v>30</v>
      </c>
      <c r="L58" s="47"/>
      <c r="M58" s="47"/>
      <c r="N58" s="48"/>
      <c r="O58" s="46" t="s">
        <v>229</v>
      </c>
      <c r="P58" s="47"/>
      <c r="Q58" s="48"/>
      <c r="R58" s="46"/>
      <c r="S58" s="48"/>
      <c r="T58" s="46"/>
      <c r="U58" s="48"/>
      <c r="V58" s="46"/>
      <c r="W58" s="48"/>
      <c r="X58" s="50" t="s">
        <v>311</v>
      </c>
      <c r="Y58" s="51"/>
    </row>
    <row r="59" spans="1:25" ht="30" customHeight="1" x14ac:dyDescent="0.25">
      <c r="A59" s="35">
        <v>4</v>
      </c>
      <c r="B59" s="36" t="s">
        <v>196</v>
      </c>
      <c r="C59" s="46" t="s">
        <v>197</v>
      </c>
      <c r="D59" s="47"/>
      <c r="E59" s="47"/>
      <c r="F59" s="48"/>
      <c r="G59" s="67" t="s">
        <v>62</v>
      </c>
      <c r="H59" s="68"/>
      <c r="I59" s="68"/>
      <c r="J59" s="69"/>
      <c r="K59" s="46"/>
      <c r="L59" s="47"/>
      <c r="M59" s="47"/>
      <c r="N59" s="48"/>
      <c r="O59" s="46" t="s">
        <v>229</v>
      </c>
      <c r="P59" s="47"/>
      <c r="Q59" s="48"/>
      <c r="R59" s="46"/>
      <c r="S59" s="48"/>
      <c r="T59" s="46"/>
      <c r="U59" s="48"/>
      <c r="V59" s="46"/>
      <c r="W59" s="48"/>
      <c r="X59" s="50"/>
      <c r="Y59" s="51"/>
    </row>
    <row r="60" spans="1:25" ht="30" customHeight="1" x14ac:dyDescent="0.25">
      <c r="A60" s="35">
        <v>5</v>
      </c>
      <c r="B60" s="36" t="s">
        <v>164</v>
      </c>
      <c r="C60" s="46" t="s">
        <v>198</v>
      </c>
      <c r="D60" s="47"/>
      <c r="E60" s="47"/>
      <c r="F60" s="48"/>
      <c r="G60" s="67" t="s">
        <v>68</v>
      </c>
      <c r="H60" s="68"/>
      <c r="I60" s="68"/>
      <c r="J60" s="69"/>
      <c r="K60" s="46"/>
      <c r="L60" s="47"/>
      <c r="M60" s="47"/>
      <c r="N60" s="48"/>
      <c r="O60" s="46" t="s">
        <v>229</v>
      </c>
      <c r="P60" s="47"/>
      <c r="Q60" s="48"/>
      <c r="R60" s="46"/>
      <c r="S60" s="48"/>
      <c r="T60" s="46"/>
      <c r="U60" s="48"/>
      <c r="V60" s="46"/>
      <c r="W60" s="48"/>
      <c r="X60" s="50"/>
      <c r="Y60" s="51"/>
    </row>
    <row r="61" spans="1:25" ht="30" customHeight="1" x14ac:dyDescent="0.25">
      <c r="A61" s="35">
        <v>6</v>
      </c>
      <c r="B61" s="36" t="s">
        <v>199</v>
      </c>
      <c r="C61" s="46" t="s">
        <v>200</v>
      </c>
      <c r="D61" s="47"/>
      <c r="E61" s="47"/>
      <c r="F61" s="48"/>
      <c r="G61" s="67" t="s">
        <v>310</v>
      </c>
      <c r="H61" s="68"/>
      <c r="I61" s="68"/>
      <c r="J61" s="69"/>
      <c r="K61" s="46">
        <v>30</v>
      </c>
      <c r="L61" s="47"/>
      <c r="M61" s="47"/>
      <c r="N61" s="48"/>
      <c r="O61" s="46" t="s">
        <v>229</v>
      </c>
      <c r="P61" s="47"/>
      <c r="Q61" s="48"/>
      <c r="R61" s="46"/>
      <c r="S61" s="48"/>
      <c r="T61" s="46"/>
      <c r="U61" s="48"/>
      <c r="V61" s="46"/>
      <c r="W61" s="48"/>
      <c r="X61" s="50" t="s">
        <v>312</v>
      </c>
      <c r="Y61" s="51"/>
    </row>
    <row r="62" spans="1:25" ht="48" customHeight="1" thickBot="1" x14ac:dyDescent="0.3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54" customHeight="1" thickTop="1" x14ac:dyDescent="0.25">
      <c r="A63" s="20">
        <f>'Invetario de Tablas'!A13</f>
        <v>10</v>
      </c>
      <c r="B63" s="29" t="s">
        <v>28</v>
      </c>
      <c r="C63" s="54" t="str">
        <f>'Invetario de Tablas'!B13</f>
        <v>entidad_financiera</v>
      </c>
      <c r="D63" s="55"/>
      <c r="E63" s="55"/>
      <c r="F63" s="56"/>
      <c r="G63" s="57" t="s">
        <v>29</v>
      </c>
      <c r="H63" s="58"/>
      <c r="I63" s="58"/>
      <c r="J63" s="59"/>
      <c r="K63" s="60" t="str">
        <f>'Invetario de Tablas'!C13</f>
        <v>Organización que puede brindar apoyo económico o financiamiento a proyectos o investigaciones del sector apícola</v>
      </c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2"/>
      <c r="X63" s="21" t="s">
        <v>32</v>
      </c>
      <c r="Y63" s="22"/>
    </row>
    <row r="64" spans="1:25" ht="60" customHeight="1" x14ac:dyDescent="0.25">
      <c r="A64" s="23" t="s">
        <v>1</v>
      </c>
      <c r="B64" s="24" t="s">
        <v>33</v>
      </c>
      <c r="C64" s="52" t="s">
        <v>34</v>
      </c>
      <c r="D64" s="64"/>
      <c r="E64" s="64"/>
      <c r="F64" s="65"/>
      <c r="G64" s="52" t="s">
        <v>35</v>
      </c>
      <c r="H64" s="64"/>
      <c r="I64" s="64"/>
      <c r="J64" s="65"/>
      <c r="K64" s="52" t="s">
        <v>36</v>
      </c>
      <c r="L64" s="64"/>
      <c r="M64" s="64"/>
      <c r="N64" s="65"/>
      <c r="O64" s="52" t="s">
        <v>37</v>
      </c>
      <c r="P64" s="64"/>
      <c r="Q64" s="65"/>
      <c r="R64" s="52" t="s">
        <v>38</v>
      </c>
      <c r="S64" s="65"/>
      <c r="T64" s="52" t="s">
        <v>39</v>
      </c>
      <c r="U64" s="65"/>
      <c r="V64" s="52" t="s">
        <v>40</v>
      </c>
      <c r="W64" s="65"/>
      <c r="X64" s="52" t="s">
        <v>41</v>
      </c>
      <c r="Y64" s="53"/>
    </row>
    <row r="65" spans="1:25" ht="30" customHeight="1" x14ac:dyDescent="0.25">
      <c r="A65" s="35">
        <v>1</v>
      </c>
      <c r="B65" s="36" t="s">
        <v>201</v>
      </c>
      <c r="C65" s="46" t="s">
        <v>202</v>
      </c>
      <c r="D65" s="47"/>
      <c r="E65" s="47"/>
      <c r="F65" s="48"/>
      <c r="G65" s="67" t="s">
        <v>46</v>
      </c>
      <c r="H65" s="42"/>
      <c r="I65" s="42"/>
      <c r="J65" s="43"/>
      <c r="K65" s="46"/>
      <c r="L65" s="47"/>
      <c r="M65" s="47"/>
      <c r="N65" s="48"/>
      <c r="O65" s="46" t="s">
        <v>229</v>
      </c>
      <c r="P65" s="47"/>
      <c r="Q65" s="48"/>
      <c r="R65" s="49" t="s">
        <v>230</v>
      </c>
      <c r="S65" s="48"/>
      <c r="T65" s="46"/>
      <c r="U65" s="48"/>
      <c r="V65" s="49" t="s">
        <v>230</v>
      </c>
      <c r="W65" s="48"/>
      <c r="X65" s="50"/>
      <c r="Y65" s="51"/>
    </row>
    <row r="66" spans="1:25" ht="30" customHeight="1" x14ac:dyDescent="0.25">
      <c r="A66" s="35">
        <v>2</v>
      </c>
      <c r="B66" s="36" t="s">
        <v>146</v>
      </c>
      <c r="C66" s="46" t="s">
        <v>203</v>
      </c>
      <c r="D66" s="47"/>
      <c r="E66" s="47"/>
      <c r="F66" s="48"/>
      <c r="G66" s="67" t="s">
        <v>310</v>
      </c>
      <c r="H66" s="68"/>
      <c r="I66" s="68"/>
      <c r="J66" s="69"/>
      <c r="K66" s="46">
        <v>100</v>
      </c>
      <c r="L66" s="47"/>
      <c r="M66" s="47"/>
      <c r="N66" s="48"/>
      <c r="O66" s="46" t="s">
        <v>229</v>
      </c>
      <c r="P66" s="47"/>
      <c r="Q66" s="48"/>
      <c r="R66" s="46"/>
      <c r="S66" s="48"/>
      <c r="T66" s="46"/>
      <c r="U66" s="48"/>
      <c r="V66" s="46"/>
      <c r="W66" s="48"/>
      <c r="X66" s="50"/>
      <c r="Y66" s="51"/>
    </row>
    <row r="67" spans="1:25" ht="30" customHeight="1" x14ac:dyDescent="0.25">
      <c r="A67" s="35">
        <v>3</v>
      </c>
      <c r="B67" s="36" t="s">
        <v>204</v>
      </c>
      <c r="C67" s="46" t="s">
        <v>203</v>
      </c>
      <c r="D67" s="47"/>
      <c r="E67" s="47"/>
      <c r="F67" s="48"/>
      <c r="G67" s="67" t="s">
        <v>310</v>
      </c>
      <c r="H67" s="68"/>
      <c r="I67" s="68"/>
      <c r="J67" s="69"/>
      <c r="K67" s="46">
        <v>100</v>
      </c>
      <c r="L67" s="47"/>
      <c r="M67" s="47"/>
      <c r="N67" s="48"/>
      <c r="O67" s="46" t="s">
        <v>229</v>
      </c>
      <c r="P67" s="47"/>
      <c r="Q67" s="48"/>
      <c r="R67" s="46"/>
      <c r="S67" s="48"/>
      <c r="T67" s="46"/>
      <c r="U67" s="48"/>
      <c r="V67" s="46"/>
      <c r="W67" s="48"/>
      <c r="X67" s="50"/>
      <c r="Y67" s="51"/>
    </row>
    <row r="68" spans="1:25" ht="30" customHeight="1" x14ac:dyDescent="0.25">
      <c r="A68" s="35">
        <v>4</v>
      </c>
      <c r="B68" s="36" t="s">
        <v>151</v>
      </c>
      <c r="C68" s="46" t="s">
        <v>153</v>
      </c>
      <c r="D68" s="47"/>
      <c r="E68" s="47"/>
      <c r="F68" s="48"/>
      <c r="G68" s="67" t="s">
        <v>310</v>
      </c>
      <c r="H68" s="68"/>
      <c r="I68" s="68"/>
      <c r="J68" s="69"/>
      <c r="K68" s="46">
        <v>15</v>
      </c>
      <c r="L68" s="47"/>
      <c r="M68" s="47"/>
      <c r="N68" s="48"/>
      <c r="O68" s="46" t="s">
        <v>229</v>
      </c>
      <c r="P68" s="47"/>
      <c r="Q68" s="48"/>
      <c r="R68" s="46"/>
      <c r="S68" s="48"/>
      <c r="T68" s="46"/>
      <c r="U68" s="48"/>
      <c r="V68" s="49" t="s">
        <v>230</v>
      </c>
      <c r="W68" s="48"/>
      <c r="X68" s="50"/>
      <c r="Y68" s="51"/>
    </row>
    <row r="69" spans="1:25" ht="30" customHeight="1" x14ac:dyDescent="0.25">
      <c r="A69" s="35">
        <v>5</v>
      </c>
      <c r="B69" s="36" t="s">
        <v>152</v>
      </c>
      <c r="C69" s="46" t="s">
        <v>154</v>
      </c>
      <c r="D69" s="47"/>
      <c r="E69" s="47"/>
      <c r="F69" s="48"/>
      <c r="G69" s="67" t="s">
        <v>310</v>
      </c>
      <c r="H69" s="68"/>
      <c r="I69" s="68"/>
      <c r="J69" s="69"/>
      <c r="K69" s="46">
        <v>100</v>
      </c>
      <c r="L69" s="47"/>
      <c r="M69" s="47"/>
      <c r="N69" s="48"/>
      <c r="O69" s="46" t="s">
        <v>229</v>
      </c>
      <c r="P69" s="47"/>
      <c r="Q69" s="48"/>
      <c r="R69" s="46"/>
      <c r="S69" s="48"/>
      <c r="T69" s="46"/>
      <c r="U69" s="48"/>
      <c r="V69" s="49" t="s">
        <v>230</v>
      </c>
      <c r="W69" s="48"/>
      <c r="X69" s="50"/>
      <c r="Y69" s="51"/>
    </row>
    <row r="70" spans="1:25" ht="48" customHeight="1" thickBot="1" x14ac:dyDescent="0.3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spans="1:25" ht="54" customHeight="1" thickTop="1" x14ac:dyDescent="0.25">
      <c r="A71" s="20">
        <f>'Invetario de Tablas'!A14</f>
        <v>11</v>
      </c>
      <c r="B71" s="29" t="s">
        <v>28</v>
      </c>
      <c r="C71" s="54" t="str">
        <f>'Invetario de Tablas'!B14</f>
        <v>entidad_reguladora</v>
      </c>
      <c r="D71" s="55"/>
      <c r="E71" s="55"/>
      <c r="F71" s="56"/>
      <c r="G71" s="57" t="s">
        <v>29</v>
      </c>
      <c r="H71" s="58"/>
      <c r="I71" s="58"/>
      <c r="J71" s="59"/>
      <c r="K71" s="60" t="str">
        <f>'Invetario de Tablas'!C14</f>
        <v>Entidad encargada de supervisar el cumplimiento de normas y emitir certificaciones relacionadas con la producción apícola</v>
      </c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2"/>
      <c r="X71" s="21" t="s">
        <v>32</v>
      </c>
      <c r="Y71" s="22"/>
    </row>
    <row r="72" spans="1:25" ht="60" customHeight="1" x14ac:dyDescent="0.25">
      <c r="A72" s="23" t="s">
        <v>1</v>
      </c>
      <c r="B72" s="24" t="s">
        <v>33</v>
      </c>
      <c r="C72" s="52" t="s">
        <v>34</v>
      </c>
      <c r="D72" s="64"/>
      <c r="E72" s="64"/>
      <c r="F72" s="65"/>
      <c r="G72" s="52" t="s">
        <v>35</v>
      </c>
      <c r="H72" s="64"/>
      <c r="I72" s="64"/>
      <c r="J72" s="65"/>
      <c r="K72" s="52" t="s">
        <v>36</v>
      </c>
      <c r="L72" s="64"/>
      <c r="M72" s="64"/>
      <c r="N72" s="65"/>
      <c r="O72" s="52" t="s">
        <v>37</v>
      </c>
      <c r="P72" s="64"/>
      <c r="Q72" s="65"/>
      <c r="R72" s="52" t="s">
        <v>38</v>
      </c>
      <c r="S72" s="65"/>
      <c r="T72" s="52" t="s">
        <v>39</v>
      </c>
      <c r="U72" s="65"/>
      <c r="V72" s="52" t="s">
        <v>40</v>
      </c>
      <c r="W72" s="65"/>
      <c r="X72" s="52" t="s">
        <v>41</v>
      </c>
      <c r="Y72" s="53"/>
    </row>
    <row r="73" spans="1:25" ht="30" customHeight="1" x14ac:dyDescent="0.25">
      <c r="A73" s="37">
        <v>1</v>
      </c>
      <c r="B73" s="36" t="s">
        <v>205</v>
      </c>
      <c r="C73" s="46" t="s">
        <v>206</v>
      </c>
      <c r="D73" s="47"/>
      <c r="E73" s="47"/>
      <c r="F73" s="48"/>
      <c r="G73" s="67" t="s">
        <v>46</v>
      </c>
      <c r="H73" s="42"/>
      <c r="I73" s="42"/>
      <c r="J73" s="43"/>
      <c r="K73" s="46"/>
      <c r="L73" s="47"/>
      <c r="M73" s="47"/>
      <c r="N73" s="48"/>
      <c r="O73" s="46" t="s">
        <v>229</v>
      </c>
      <c r="P73" s="47"/>
      <c r="Q73" s="48"/>
      <c r="R73" s="49" t="s">
        <v>230</v>
      </c>
      <c r="S73" s="48"/>
      <c r="T73" s="46"/>
      <c r="U73" s="48"/>
      <c r="V73" s="49" t="s">
        <v>230</v>
      </c>
      <c r="W73" s="48"/>
      <c r="X73" s="50"/>
      <c r="Y73" s="51"/>
    </row>
    <row r="74" spans="1:25" ht="30" customHeight="1" x14ac:dyDescent="0.25">
      <c r="A74" s="37">
        <v>2</v>
      </c>
      <c r="B74" s="36" t="s">
        <v>146</v>
      </c>
      <c r="C74" s="46" t="s">
        <v>207</v>
      </c>
      <c r="D74" s="47"/>
      <c r="E74" s="47"/>
      <c r="F74" s="48"/>
      <c r="G74" s="67" t="s">
        <v>310</v>
      </c>
      <c r="H74" s="68"/>
      <c r="I74" s="68"/>
      <c r="J74" s="69"/>
      <c r="K74" s="46">
        <v>100</v>
      </c>
      <c r="L74" s="47"/>
      <c r="M74" s="47"/>
      <c r="N74" s="48"/>
      <c r="O74" s="46" t="s">
        <v>229</v>
      </c>
      <c r="P74" s="47"/>
      <c r="Q74" s="48"/>
      <c r="R74" s="46"/>
      <c r="S74" s="48"/>
      <c r="T74" s="46"/>
      <c r="U74" s="48"/>
      <c r="V74" s="46"/>
      <c r="W74" s="48"/>
      <c r="X74" s="50"/>
      <c r="Y74" s="51"/>
    </row>
    <row r="75" spans="1:25" ht="30" customHeight="1" x14ac:dyDescent="0.25">
      <c r="A75" s="37">
        <v>3</v>
      </c>
      <c r="B75" s="36" t="s">
        <v>208</v>
      </c>
      <c r="C75" s="46" t="s">
        <v>209</v>
      </c>
      <c r="D75" s="47"/>
      <c r="E75" s="47"/>
      <c r="F75" s="48"/>
      <c r="G75" s="67" t="s">
        <v>310</v>
      </c>
      <c r="H75" s="68"/>
      <c r="I75" s="68"/>
      <c r="J75" s="69"/>
      <c r="K75" s="46">
        <v>100</v>
      </c>
      <c r="L75" s="47"/>
      <c r="M75" s="47"/>
      <c r="N75" s="48"/>
      <c r="O75" s="46" t="s">
        <v>229</v>
      </c>
      <c r="P75" s="47"/>
      <c r="Q75" s="48"/>
      <c r="R75" s="46"/>
      <c r="S75" s="48"/>
      <c r="T75" s="46"/>
      <c r="U75" s="48"/>
      <c r="V75" s="46"/>
      <c r="W75" s="48"/>
      <c r="X75" s="50"/>
      <c r="Y75" s="51"/>
    </row>
    <row r="76" spans="1:25" ht="30" customHeight="1" x14ac:dyDescent="0.25">
      <c r="A76" s="37">
        <v>4</v>
      </c>
      <c r="B76" s="36" t="s">
        <v>151</v>
      </c>
      <c r="C76" s="46" t="s">
        <v>210</v>
      </c>
      <c r="D76" s="47"/>
      <c r="E76" s="47"/>
      <c r="F76" s="48"/>
      <c r="G76" s="67" t="s">
        <v>310</v>
      </c>
      <c r="H76" s="68"/>
      <c r="I76" s="68"/>
      <c r="J76" s="69"/>
      <c r="K76" s="46">
        <v>15</v>
      </c>
      <c r="L76" s="47"/>
      <c r="M76" s="47"/>
      <c r="N76" s="48"/>
      <c r="O76" s="46" t="s">
        <v>229</v>
      </c>
      <c r="P76" s="47"/>
      <c r="Q76" s="48"/>
      <c r="R76" s="46"/>
      <c r="S76" s="48"/>
      <c r="T76" s="46"/>
      <c r="U76" s="48"/>
      <c r="V76" s="49" t="s">
        <v>230</v>
      </c>
      <c r="W76" s="48"/>
      <c r="X76" s="50"/>
      <c r="Y76" s="51"/>
    </row>
    <row r="77" spans="1:25" ht="30" customHeight="1" x14ac:dyDescent="0.25">
      <c r="A77" s="37">
        <v>5</v>
      </c>
      <c r="B77" s="36" t="s">
        <v>152</v>
      </c>
      <c r="C77" s="46" t="s">
        <v>211</v>
      </c>
      <c r="D77" s="47"/>
      <c r="E77" s="47"/>
      <c r="F77" s="48"/>
      <c r="G77" s="67" t="s">
        <v>310</v>
      </c>
      <c r="H77" s="68"/>
      <c r="I77" s="68"/>
      <c r="J77" s="69"/>
      <c r="K77" s="46">
        <v>100</v>
      </c>
      <c r="L77" s="47"/>
      <c r="M77" s="47"/>
      <c r="N77" s="48"/>
      <c r="O77" s="46" t="s">
        <v>229</v>
      </c>
      <c r="P77" s="47"/>
      <c r="Q77" s="48"/>
      <c r="R77" s="46"/>
      <c r="S77" s="48"/>
      <c r="T77" s="46"/>
      <c r="U77" s="48"/>
      <c r="V77" s="49" t="s">
        <v>230</v>
      </c>
      <c r="W77" s="48"/>
      <c r="X77" s="50"/>
      <c r="Y77" s="51"/>
    </row>
    <row r="78" spans="1:25" ht="48" customHeight="1" thickBot="1" x14ac:dyDescent="0.3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 spans="1:25" ht="54" customHeight="1" thickTop="1" x14ac:dyDescent="0.25">
      <c r="A79" s="20">
        <f>'Invetario de Tablas'!A15</f>
        <v>12</v>
      </c>
      <c r="B79" s="29" t="s">
        <v>28</v>
      </c>
      <c r="C79" s="54" t="str">
        <f>'Invetario de Tablas'!B15</f>
        <v>cooperativa</v>
      </c>
      <c r="D79" s="55"/>
      <c r="E79" s="55"/>
      <c r="F79" s="56"/>
      <c r="G79" s="57" t="s">
        <v>29</v>
      </c>
      <c r="H79" s="58"/>
      <c r="I79" s="58"/>
      <c r="J79" s="59"/>
      <c r="K79" s="60" t="str">
        <f>'Invetario de Tablas'!C15</f>
        <v>Organizacion que apoya procesos productivos</v>
      </c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2"/>
      <c r="X79" s="21" t="s">
        <v>32</v>
      </c>
      <c r="Y79" s="22"/>
    </row>
    <row r="80" spans="1:25" ht="60" customHeight="1" x14ac:dyDescent="0.25">
      <c r="A80" s="23" t="s">
        <v>1</v>
      </c>
      <c r="B80" s="24" t="s">
        <v>33</v>
      </c>
      <c r="C80" s="52" t="s">
        <v>34</v>
      </c>
      <c r="D80" s="64"/>
      <c r="E80" s="64"/>
      <c r="F80" s="65"/>
      <c r="G80" s="52" t="s">
        <v>35</v>
      </c>
      <c r="H80" s="64"/>
      <c r="I80" s="64"/>
      <c r="J80" s="65"/>
      <c r="K80" s="52" t="s">
        <v>36</v>
      </c>
      <c r="L80" s="64"/>
      <c r="M80" s="64"/>
      <c r="N80" s="65"/>
      <c r="O80" s="52" t="s">
        <v>37</v>
      </c>
      <c r="P80" s="64"/>
      <c r="Q80" s="65"/>
      <c r="R80" s="52" t="s">
        <v>38</v>
      </c>
      <c r="S80" s="65"/>
      <c r="T80" s="52" t="s">
        <v>39</v>
      </c>
      <c r="U80" s="65"/>
      <c r="V80" s="52" t="s">
        <v>40</v>
      </c>
      <c r="W80" s="65"/>
      <c r="X80" s="52" t="s">
        <v>41</v>
      </c>
      <c r="Y80" s="53"/>
    </row>
    <row r="81" spans="1:25" ht="30" customHeight="1" x14ac:dyDescent="0.25">
      <c r="A81" s="37">
        <v>1</v>
      </c>
      <c r="B81" s="36" t="s">
        <v>212</v>
      </c>
      <c r="C81" s="46" t="s">
        <v>213</v>
      </c>
      <c r="D81" s="47"/>
      <c r="E81" s="47"/>
      <c r="F81" s="48"/>
      <c r="G81" s="67" t="s">
        <v>46</v>
      </c>
      <c r="H81" s="42"/>
      <c r="I81" s="42"/>
      <c r="J81" s="43"/>
      <c r="K81" s="46"/>
      <c r="L81" s="47"/>
      <c r="M81" s="47"/>
      <c r="N81" s="48"/>
      <c r="O81" s="46" t="s">
        <v>229</v>
      </c>
      <c r="P81" s="47"/>
      <c r="Q81" s="48"/>
      <c r="R81" s="49" t="s">
        <v>230</v>
      </c>
      <c r="S81" s="48"/>
      <c r="T81" s="46"/>
      <c r="U81" s="48"/>
      <c r="V81" s="49" t="s">
        <v>230</v>
      </c>
      <c r="W81" s="48"/>
      <c r="X81" s="50"/>
      <c r="Y81" s="51"/>
    </row>
    <row r="82" spans="1:25" ht="30" customHeight="1" x14ac:dyDescent="0.25">
      <c r="A82" s="37">
        <v>2</v>
      </c>
      <c r="B82" s="36" t="s">
        <v>146</v>
      </c>
      <c r="C82" s="46" t="s">
        <v>214</v>
      </c>
      <c r="D82" s="47"/>
      <c r="E82" s="47"/>
      <c r="F82" s="48"/>
      <c r="G82" s="67" t="s">
        <v>310</v>
      </c>
      <c r="H82" s="68"/>
      <c r="I82" s="68"/>
      <c r="J82" s="69"/>
      <c r="K82" s="46">
        <v>100</v>
      </c>
      <c r="L82" s="47"/>
      <c r="M82" s="47"/>
      <c r="N82" s="48"/>
      <c r="O82" s="46" t="s">
        <v>229</v>
      </c>
      <c r="P82" s="47"/>
      <c r="Q82" s="48"/>
      <c r="R82" s="46"/>
      <c r="S82" s="48"/>
      <c r="T82" s="46"/>
      <c r="U82" s="48"/>
      <c r="V82" s="46"/>
      <c r="W82" s="48"/>
      <c r="X82" s="50"/>
      <c r="Y82" s="51"/>
    </row>
    <row r="83" spans="1:25" ht="30" customHeight="1" x14ac:dyDescent="0.25">
      <c r="A83" s="37">
        <v>3</v>
      </c>
      <c r="B83" s="36" t="s">
        <v>215</v>
      </c>
      <c r="C83" s="46" t="s">
        <v>216</v>
      </c>
      <c r="D83" s="47"/>
      <c r="E83" s="47"/>
      <c r="F83" s="48"/>
      <c r="G83" s="67" t="s">
        <v>310</v>
      </c>
      <c r="H83" s="68"/>
      <c r="I83" s="68"/>
      <c r="J83" s="69"/>
      <c r="K83" s="46">
        <v>100</v>
      </c>
      <c r="L83" s="47"/>
      <c r="M83" s="47"/>
      <c r="N83" s="48"/>
      <c r="O83" s="46" t="s">
        <v>229</v>
      </c>
      <c r="P83" s="47"/>
      <c r="Q83" s="48"/>
      <c r="R83" s="46"/>
      <c r="S83" s="48"/>
      <c r="T83" s="46"/>
      <c r="U83" s="48"/>
      <c r="V83" s="46"/>
      <c r="W83" s="48"/>
      <c r="X83" s="50"/>
      <c r="Y83" s="51"/>
    </row>
    <row r="84" spans="1:25" ht="30" customHeight="1" x14ac:dyDescent="0.25">
      <c r="A84" s="37">
        <v>4</v>
      </c>
      <c r="B84" s="36" t="s">
        <v>151</v>
      </c>
      <c r="C84" s="46" t="s">
        <v>217</v>
      </c>
      <c r="D84" s="47"/>
      <c r="E84" s="47"/>
      <c r="F84" s="48"/>
      <c r="G84" s="67" t="s">
        <v>310</v>
      </c>
      <c r="H84" s="68"/>
      <c r="I84" s="68"/>
      <c r="J84" s="69"/>
      <c r="K84" s="46">
        <v>15</v>
      </c>
      <c r="L84" s="47"/>
      <c r="M84" s="47"/>
      <c r="N84" s="48"/>
      <c r="O84" s="46" t="s">
        <v>229</v>
      </c>
      <c r="P84" s="47"/>
      <c r="Q84" s="48"/>
      <c r="R84" s="46"/>
      <c r="S84" s="48"/>
      <c r="T84" s="46"/>
      <c r="U84" s="48"/>
      <c r="V84" s="49" t="s">
        <v>230</v>
      </c>
      <c r="W84" s="48"/>
      <c r="X84" s="50"/>
      <c r="Y84" s="51"/>
    </row>
    <row r="85" spans="1:25" ht="30" customHeight="1" x14ac:dyDescent="0.25">
      <c r="A85" s="37">
        <v>5</v>
      </c>
      <c r="B85" s="36" t="s">
        <v>218</v>
      </c>
      <c r="C85" s="46" t="s">
        <v>219</v>
      </c>
      <c r="D85" s="47"/>
      <c r="E85" s="47"/>
      <c r="F85" s="48"/>
      <c r="G85" s="67" t="s">
        <v>66</v>
      </c>
      <c r="H85" s="68"/>
      <c r="I85" s="68"/>
      <c r="J85" s="69"/>
      <c r="K85" s="46"/>
      <c r="L85" s="47"/>
      <c r="M85" s="47"/>
      <c r="N85" s="48"/>
      <c r="O85" s="46" t="s">
        <v>229</v>
      </c>
      <c r="P85" s="47"/>
      <c r="Q85" s="48"/>
      <c r="R85" s="46"/>
      <c r="S85" s="48"/>
      <c r="T85" s="46"/>
      <c r="U85" s="48"/>
      <c r="V85" s="46"/>
      <c r="W85" s="48"/>
      <c r="X85" s="50"/>
      <c r="Y85" s="51"/>
    </row>
    <row r="86" spans="1:25" ht="48" customHeight="1" thickBot="1" x14ac:dyDescent="0.3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 spans="1:25" ht="54" customHeight="1" thickTop="1" x14ac:dyDescent="0.25">
      <c r="A87" s="20">
        <f>'Invetario de Tablas'!A16</f>
        <v>13</v>
      </c>
      <c r="B87" s="29" t="s">
        <v>28</v>
      </c>
      <c r="C87" s="54" t="str">
        <f>'Invetario de Tablas'!B16</f>
        <v>certificacion</v>
      </c>
      <c r="D87" s="55"/>
      <c r="E87" s="55"/>
      <c r="F87" s="56"/>
      <c r="G87" s="57" t="s">
        <v>29</v>
      </c>
      <c r="H87" s="58"/>
      <c r="I87" s="58"/>
      <c r="J87" s="59"/>
      <c r="K87" s="60" t="str">
        <f>'Invetario de Tablas'!C16</f>
        <v>Certificacion reguladora que cumple con normas puestas por la entidad reguladora</v>
      </c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2"/>
      <c r="X87" s="21" t="s">
        <v>32</v>
      </c>
      <c r="Y87" s="22"/>
    </row>
    <row r="88" spans="1:25" ht="60" customHeight="1" x14ac:dyDescent="0.25">
      <c r="A88" s="23" t="s">
        <v>1</v>
      </c>
      <c r="B88" s="24" t="s">
        <v>33</v>
      </c>
      <c r="C88" s="52" t="s">
        <v>34</v>
      </c>
      <c r="D88" s="64"/>
      <c r="E88" s="64"/>
      <c r="F88" s="65"/>
      <c r="G88" s="52" t="s">
        <v>35</v>
      </c>
      <c r="H88" s="64"/>
      <c r="I88" s="64"/>
      <c r="J88" s="65"/>
      <c r="K88" s="52" t="s">
        <v>36</v>
      </c>
      <c r="L88" s="64"/>
      <c r="M88" s="64"/>
      <c r="N88" s="65"/>
      <c r="O88" s="52" t="s">
        <v>37</v>
      </c>
      <c r="P88" s="64"/>
      <c r="Q88" s="65"/>
      <c r="R88" s="52" t="s">
        <v>38</v>
      </c>
      <c r="S88" s="65"/>
      <c r="T88" s="52" t="s">
        <v>39</v>
      </c>
      <c r="U88" s="65"/>
      <c r="V88" s="52" t="s">
        <v>40</v>
      </c>
      <c r="W88" s="65"/>
      <c r="X88" s="52" t="s">
        <v>41</v>
      </c>
      <c r="Y88" s="53"/>
    </row>
    <row r="89" spans="1:25" ht="30" customHeight="1" x14ac:dyDescent="0.25">
      <c r="A89" s="37">
        <v>1</v>
      </c>
      <c r="B89" s="36" t="s">
        <v>220</v>
      </c>
      <c r="C89" s="46" t="s">
        <v>221</v>
      </c>
      <c r="D89" s="47"/>
      <c r="E89" s="47"/>
      <c r="F89" s="48"/>
      <c r="G89" s="67" t="s">
        <v>46</v>
      </c>
      <c r="H89" s="42"/>
      <c r="I89" s="42"/>
      <c r="J89" s="43"/>
      <c r="K89" s="46"/>
      <c r="L89" s="47"/>
      <c r="M89" s="47"/>
      <c r="N89" s="48"/>
      <c r="O89" s="46" t="s">
        <v>229</v>
      </c>
      <c r="P89" s="47"/>
      <c r="Q89" s="48"/>
      <c r="R89" s="49" t="s">
        <v>230</v>
      </c>
      <c r="S89" s="48"/>
      <c r="T89" s="46"/>
      <c r="U89" s="48"/>
      <c r="V89" s="49" t="s">
        <v>230</v>
      </c>
      <c r="W89" s="48"/>
      <c r="X89" s="50"/>
      <c r="Y89" s="51"/>
    </row>
    <row r="90" spans="1:25" ht="30" customHeight="1" x14ac:dyDescent="0.25">
      <c r="A90" s="37">
        <v>2</v>
      </c>
      <c r="B90" s="36" t="s">
        <v>205</v>
      </c>
      <c r="C90" s="46" t="s">
        <v>206</v>
      </c>
      <c r="D90" s="47"/>
      <c r="E90" s="47"/>
      <c r="F90" s="48"/>
      <c r="G90" s="67" t="s">
        <v>54</v>
      </c>
      <c r="H90" s="68"/>
      <c r="I90" s="68"/>
      <c r="J90" s="69"/>
      <c r="K90" s="46"/>
      <c r="L90" s="47"/>
      <c r="M90" s="47"/>
      <c r="N90" s="48"/>
      <c r="O90" s="46" t="s">
        <v>229</v>
      </c>
      <c r="P90" s="47"/>
      <c r="Q90" s="48"/>
      <c r="R90" s="46"/>
      <c r="S90" s="48"/>
      <c r="T90" s="49" t="s">
        <v>230</v>
      </c>
      <c r="U90" s="48"/>
      <c r="V90" s="46"/>
      <c r="W90" s="48"/>
      <c r="X90" s="50"/>
      <c r="Y90" s="51"/>
    </row>
    <row r="91" spans="1:25" ht="30" customHeight="1" x14ac:dyDescent="0.25">
      <c r="A91" s="37">
        <v>3</v>
      </c>
      <c r="B91" s="36" t="s">
        <v>147</v>
      </c>
      <c r="C91" s="46" t="s">
        <v>222</v>
      </c>
      <c r="D91" s="47"/>
      <c r="E91" s="47"/>
      <c r="F91" s="48"/>
      <c r="G91" s="67" t="s">
        <v>62</v>
      </c>
      <c r="H91" s="68"/>
      <c r="I91" s="68"/>
      <c r="J91" s="69"/>
      <c r="K91" s="46"/>
      <c r="L91" s="47"/>
      <c r="M91" s="47"/>
      <c r="N91" s="48"/>
      <c r="O91" s="46" t="s">
        <v>231</v>
      </c>
      <c r="P91" s="47"/>
      <c r="Q91" s="48"/>
      <c r="R91" s="46"/>
      <c r="S91" s="48"/>
      <c r="T91" s="46"/>
      <c r="U91" s="48"/>
      <c r="V91" s="46"/>
      <c r="W91" s="48"/>
      <c r="X91" s="50"/>
      <c r="Y91" s="51"/>
    </row>
    <row r="92" spans="1:25" ht="30" customHeight="1" x14ac:dyDescent="0.25">
      <c r="A92" s="37">
        <v>4</v>
      </c>
      <c r="B92" s="36" t="s">
        <v>223</v>
      </c>
      <c r="C92" s="46" t="s">
        <v>224</v>
      </c>
      <c r="D92" s="47"/>
      <c r="E92" s="47"/>
      <c r="F92" s="48"/>
      <c r="G92" s="67" t="s">
        <v>66</v>
      </c>
      <c r="H92" s="68"/>
      <c r="I92" s="68"/>
      <c r="J92" s="69"/>
      <c r="K92" s="46"/>
      <c r="L92" s="47"/>
      <c r="M92" s="47"/>
      <c r="N92" s="48"/>
      <c r="O92" s="46" t="s">
        <v>231</v>
      </c>
      <c r="P92" s="47"/>
      <c r="Q92" s="48"/>
      <c r="R92" s="46"/>
      <c r="S92" s="48"/>
      <c r="T92" s="46"/>
      <c r="U92" s="48"/>
      <c r="V92" s="46"/>
      <c r="W92" s="48"/>
      <c r="X92" s="50"/>
      <c r="Y92" s="51"/>
    </row>
    <row r="93" spans="1:25" ht="30" customHeight="1" x14ac:dyDescent="0.25">
      <c r="A93" s="37">
        <v>5</v>
      </c>
      <c r="B93" s="36" t="s">
        <v>225</v>
      </c>
      <c r="C93" s="46" t="s">
        <v>226</v>
      </c>
      <c r="D93" s="47"/>
      <c r="E93" s="47"/>
      <c r="F93" s="48"/>
      <c r="G93" s="67" t="s">
        <v>66</v>
      </c>
      <c r="H93" s="68"/>
      <c r="I93" s="68"/>
      <c r="J93" s="69"/>
      <c r="K93" s="46"/>
      <c r="L93" s="47"/>
      <c r="M93" s="47"/>
      <c r="N93" s="48"/>
      <c r="O93" s="46" t="s">
        <v>231</v>
      </c>
      <c r="P93" s="47"/>
      <c r="Q93" s="48"/>
      <c r="R93" s="46"/>
      <c r="S93" s="48"/>
      <c r="T93" s="46"/>
      <c r="U93" s="48"/>
      <c r="V93" s="46"/>
      <c r="W93" s="48"/>
      <c r="X93" s="50"/>
      <c r="Y93" s="51"/>
    </row>
    <row r="94" spans="1:25" ht="30" customHeight="1" x14ac:dyDescent="0.25">
      <c r="A94" s="37">
        <v>6</v>
      </c>
      <c r="B94" s="36" t="s">
        <v>227</v>
      </c>
      <c r="C94" s="46" t="s">
        <v>228</v>
      </c>
      <c r="D94" s="47"/>
      <c r="E94" s="47"/>
      <c r="F94" s="48"/>
      <c r="G94" s="67" t="s">
        <v>310</v>
      </c>
      <c r="H94" s="68"/>
      <c r="I94" s="68"/>
      <c r="J94" s="69"/>
      <c r="K94" s="46">
        <v>100</v>
      </c>
      <c r="L94" s="47"/>
      <c r="M94" s="47"/>
      <c r="N94" s="48"/>
      <c r="O94" s="46" t="s">
        <v>231</v>
      </c>
      <c r="P94" s="47"/>
      <c r="Q94" s="48"/>
      <c r="R94" s="46"/>
      <c r="S94" s="48"/>
      <c r="T94" s="46"/>
      <c r="U94" s="48"/>
      <c r="V94" s="46"/>
      <c r="W94" s="48"/>
      <c r="X94" s="50"/>
      <c r="Y94" s="51"/>
    </row>
    <row r="95" spans="1:25" ht="48" customHeight="1" thickBot="1" x14ac:dyDescent="0.3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 spans="1:25" ht="54" customHeight="1" thickTop="1" x14ac:dyDescent="0.25">
      <c r="A96" s="20">
        <f>'Invetario de Tablas'!A17</f>
        <v>14</v>
      </c>
      <c r="B96" s="29" t="s">
        <v>28</v>
      </c>
      <c r="C96" s="54" t="str">
        <f>'Invetario de Tablas'!B17</f>
        <v>consumidor</v>
      </c>
      <c r="D96" s="55"/>
      <c r="E96" s="55"/>
      <c r="F96" s="56"/>
      <c r="G96" s="57" t="s">
        <v>29</v>
      </c>
      <c r="H96" s="58"/>
      <c r="I96" s="58"/>
      <c r="J96" s="59"/>
      <c r="K96" s="60" t="str">
        <f>'Invetario de Tablas'!C17</f>
        <v>Persona que consume los productos apicola</v>
      </c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2"/>
      <c r="X96" s="21" t="s">
        <v>32</v>
      </c>
      <c r="Y96" s="22"/>
    </row>
    <row r="97" spans="1:25" ht="60" customHeight="1" x14ac:dyDescent="0.25">
      <c r="A97" s="23" t="s">
        <v>1</v>
      </c>
      <c r="B97" s="24" t="s">
        <v>33</v>
      </c>
      <c r="C97" s="52" t="s">
        <v>34</v>
      </c>
      <c r="D97" s="64"/>
      <c r="E97" s="64"/>
      <c r="F97" s="65"/>
      <c r="G97" s="52" t="s">
        <v>35</v>
      </c>
      <c r="H97" s="64"/>
      <c r="I97" s="64"/>
      <c r="J97" s="65"/>
      <c r="K97" s="52" t="s">
        <v>36</v>
      </c>
      <c r="L97" s="64"/>
      <c r="M97" s="64"/>
      <c r="N97" s="65"/>
      <c r="O97" s="52" t="s">
        <v>37</v>
      </c>
      <c r="P97" s="64"/>
      <c r="Q97" s="65"/>
      <c r="R97" s="52" t="s">
        <v>38</v>
      </c>
      <c r="S97" s="65"/>
      <c r="T97" s="52" t="s">
        <v>39</v>
      </c>
      <c r="U97" s="65"/>
      <c r="V97" s="52" t="s">
        <v>40</v>
      </c>
      <c r="W97" s="65"/>
      <c r="X97" s="52" t="s">
        <v>41</v>
      </c>
      <c r="Y97" s="53"/>
    </row>
    <row r="98" spans="1:25" ht="30" customHeight="1" x14ac:dyDescent="0.25">
      <c r="A98" s="37">
        <v>1</v>
      </c>
      <c r="B98" s="36" t="s">
        <v>170</v>
      </c>
      <c r="C98" s="46" t="s">
        <v>232</v>
      </c>
      <c r="D98" s="47"/>
      <c r="E98" s="47"/>
      <c r="F98" s="48"/>
      <c r="G98" s="67" t="s">
        <v>46</v>
      </c>
      <c r="H98" s="42"/>
      <c r="I98" s="42"/>
      <c r="J98" s="43"/>
      <c r="K98" s="46"/>
      <c r="L98" s="47"/>
      <c r="M98" s="47"/>
      <c r="N98" s="48"/>
      <c r="O98" s="46" t="s">
        <v>229</v>
      </c>
      <c r="P98" s="47"/>
      <c r="Q98" s="48"/>
      <c r="R98" s="49" t="s">
        <v>230</v>
      </c>
      <c r="S98" s="48"/>
      <c r="T98" s="46"/>
      <c r="U98" s="48"/>
      <c r="V98" s="49" t="s">
        <v>230</v>
      </c>
      <c r="W98" s="48"/>
      <c r="X98" s="50"/>
      <c r="Y98" s="51"/>
    </row>
    <row r="99" spans="1:25" ht="30" customHeight="1" x14ac:dyDescent="0.25">
      <c r="A99" s="37">
        <v>2</v>
      </c>
      <c r="B99" s="36" t="s">
        <v>146</v>
      </c>
      <c r="C99" s="46" t="s">
        <v>318</v>
      </c>
      <c r="D99" s="47"/>
      <c r="E99" s="47"/>
      <c r="F99" s="48"/>
      <c r="G99" s="67" t="s">
        <v>310</v>
      </c>
      <c r="H99" s="68"/>
      <c r="I99" s="68"/>
      <c r="J99" s="69"/>
      <c r="K99" s="46">
        <v>80</v>
      </c>
      <c r="L99" s="47"/>
      <c r="M99" s="47"/>
      <c r="N99" s="48"/>
      <c r="O99" s="46" t="s">
        <v>229</v>
      </c>
      <c r="P99" s="47"/>
      <c r="Q99" s="48"/>
      <c r="R99" s="46"/>
      <c r="S99" s="48"/>
      <c r="T99" s="46"/>
      <c r="U99" s="48"/>
      <c r="V99" s="46"/>
      <c r="W99" s="48"/>
      <c r="X99" s="50"/>
      <c r="Y99" s="51"/>
    </row>
    <row r="100" spans="1:25" ht="30" customHeight="1" x14ac:dyDescent="0.25">
      <c r="A100" s="37">
        <v>3</v>
      </c>
      <c r="B100" s="36" t="s">
        <v>152</v>
      </c>
      <c r="C100" s="46" t="s">
        <v>233</v>
      </c>
      <c r="D100" s="47"/>
      <c r="E100" s="47"/>
      <c r="F100" s="48"/>
      <c r="G100" s="67" t="s">
        <v>310</v>
      </c>
      <c r="H100" s="68"/>
      <c r="I100" s="68"/>
      <c r="J100" s="69"/>
      <c r="K100" s="46">
        <v>100</v>
      </c>
      <c r="L100" s="47"/>
      <c r="M100" s="47"/>
      <c r="N100" s="48"/>
      <c r="O100" s="46" t="s">
        <v>229</v>
      </c>
      <c r="P100" s="47"/>
      <c r="Q100" s="48"/>
      <c r="R100" s="46"/>
      <c r="S100" s="48"/>
      <c r="T100" s="46"/>
      <c r="U100" s="48"/>
      <c r="V100" s="49" t="s">
        <v>230</v>
      </c>
      <c r="W100" s="48"/>
      <c r="X100" s="50"/>
      <c r="Y100" s="51"/>
    </row>
    <row r="101" spans="1:25" ht="30" customHeight="1" x14ac:dyDescent="0.25">
      <c r="A101" s="37">
        <v>4</v>
      </c>
      <c r="B101" s="36" t="s">
        <v>151</v>
      </c>
      <c r="C101" s="46" t="s">
        <v>234</v>
      </c>
      <c r="D101" s="47"/>
      <c r="E101" s="47"/>
      <c r="F101" s="48"/>
      <c r="G101" s="67" t="s">
        <v>310</v>
      </c>
      <c r="H101" s="68"/>
      <c r="I101" s="68"/>
      <c r="J101" s="69"/>
      <c r="K101" s="46">
        <v>15</v>
      </c>
      <c r="L101" s="47"/>
      <c r="M101" s="47"/>
      <c r="N101" s="48"/>
      <c r="O101" s="46" t="s">
        <v>229</v>
      </c>
      <c r="P101" s="47"/>
      <c r="Q101" s="48"/>
      <c r="R101" s="46"/>
      <c r="S101" s="48"/>
      <c r="T101" s="46"/>
      <c r="U101" s="48"/>
      <c r="V101" s="49" t="s">
        <v>230</v>
      </c>
      <c r="W101" s="48"/>
      <c r="X101" s="50"/>
      <c r="Y101" s="51"/>
    </row>
    <row r="102" spans="1:25" ht="30" customHeight="1" x14ac:dyDescent="0.25">
      <c r="A102" s="37">
        <v>5</v>
      </c>
      <c r="B102" s="36" t="s">
        <v>215</v>
      </c>
      <c r="C102" s="46" t="s">
        <v>235</v>
      </c>
      <c r="D102" s="47"/>
      <c r="E102" s="47"/>
      <c r="F102" s="48"/>
      <c r="G102" s="67" t="s">
        <v>310</v>
      </c>
      <c r="H102" s="68"/>
      <c r="I102" s="68"/>
      <c r="J102" s="69"/>
      <c r="K102" s="46">
        <v>100</v>
      </c>
      <c r="L102" s="47"/>
      <c r="M102" s="47"/>
      <c r="N102" s="48"/>
      <c r="O102" s="46" t="s">
        <v>229</v>
      </c>
      <c r="P102" s="47"/>
      <c r="Q102" s="48"/>
      <c r="R102" s="46"/>
      <c r="S102" s="48"/>
      <c r="T102" s="46"/>
      <c r="U102" s="48"/>
      <c r="V102" s="46"/>
      <c r="W102" s="48"/>
      <c r="X102" s="50"/>
      <c r="Y102" s="51"/>
    </row>
    <row r="103" spans="1:25" ht="48" customHeight="1" thickBot="1" x14ac:dyDescent="0.3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spans="1:25" ht="54" customHeight="1" thickTop="1" x14ac:dyDescent="0.25">
      <c r="A104" s="20">
        <f>'Invetario de Tablas'!A18</f>
        <v>15</v>
      </c>
      <c r="B104" s="29" t="s">
        <v>28</v>
      </c>
      <c r="C104" s="54" t="str">
        <f>'Invetario de Tablas'!B18</f>
        <v>registro_clinico</v>
      </c>
      <c r="D104" s="55"/>
      <c r="E104" s="55"/>
      <c r="F104" s="56"/>
      <c r="G104" s="57" t="s">
        <v>29</v>
      </c>
      <c r="H104" s="58"/>
      <c r="I104" s="58"/>
      <c r="J104" s="59"/>
      <c r="K104" s="60" t="str">
        <f>'Invetario de Tablas'!C18</f>
        <v>Historial sanitario de un apiario</v>
      </c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2"/>
      <c r="X104" s="21" t="s">
        <v>32</v>
      </c>
      <c r="Y104" s="22"/>
    </row>
    <row r="105" spans="1:25" ht="60" customHeight="1" x14ac:dyDescent="0.25">
      <c r="A105" s="23" t="s">
        <v>1</v>
      </c>
      <c r="B105" s="24" t="s">
        <v>33</v>
      </c>
      <c r="C105" s="52" t="s">
        <v>34</v>
      </c>
      <c r="D105" s="64"/>
      <c r="E105" s="64"/>
      <c r="F105" s="65"/>
      <c r="G105" s="52" t="s">
        <v>35</v>
      </c>
      <c r="H105" s="64"/>
      <c r="I105" s="64"/>
      <c r="J105" s="65"/>
      <c r="K105" s="52" t="s">
        <v>36</v>
      </c>
      <c r="L105" s="64"/>
      <c r="M105" s="64"/>
      <c r="N105" s="65"/>
      <c r="O105" s="52" t="s">
        <v>37</v>
      </c>
      <c r="P105" s="64"/>
      <c r="Q105" s="65"/>
      <c r="R105" s="52" t="s">
        <v>38</v>
      </c>
      <c r="S105" s="65"/>
      <c r="T105" s="52" t="s">
        <v>39</v>
      </c>
      <c r="U105" s="65"/>
      <c r="V105" s="52" t="s">
        <v>40</v>
      </c>
      <c r="W105" s="65"/>
      <c r="X105" s="52" t="s">
        <v>41</v>
      </c>
      <c r="Y105" s="53"/>
    </row>
    <row r="106" spans="1:25" ht="30" customHeight="1" x14ac:dyDescent="0.25">
      <c r="A106" s="37">
        <v>1</v>
      </c>
      <c r="B106" s="36" t="s">
        <v>236</v>
      </c>
      <c r="C106" s="46" t="s">
        <v>237</v>
      </c>
      <c r="D106" s="47"/>
      <c r="E106" s="47"/>
      <c r="F106" s="48"/>
      <c r="G106" s="67" t="s">
        <v>46</v>
      </c>
      <c r="H106" s="42"/>
      <c r="I106" s="42"/>
      <c r="J106" s="43"/>
      <c r="K106" s="46"/>
      <c r="L106" s="47"/>
      <c r="M106" s="47"/>
      <c r="N106" s="48"/>
      <c r="O106" s="46" t="s">
        <v>229</v>
      </c>
      <c r="P106" s="47"/>
      <c r="Q106" s="48"/>
      <c r="R106" s="49" t="s">
        <v>230</v>
      </c>
      <c r="S106" s="48"/>
      <c r="T106" s="46"/>
      <c r="U106" s="48"/>
      <c r="V106" s="49" t="s">
        <v>230</v>
      </c>
      <c r="W106" s="48"/>
      <c r="X106" s="50"/>
      <c r="Y106" s="51"/>
    </row>
    <row r="107" spans="1:25" ht="30" customHeight="1" x14ac:dyDescent="0.25">
      <c r="A107" s="37">
        <v>2</v>
      </c>
      <c r="B107" s="36" t="s">
        <v>155</v>
      </c>
      <c r="C107" s="46" t="s">
        <v>238</v>
      </c>
      <c r="D107" s="47"/>
      <c r="E107" s="47"/>
      <c r="F107" s="48"/>
      <c r="G107" s="67" t="s">
        <v>54</v>
      </c>
      <c r="H107" s="68"/>
      <c r="I107" s="68"/>
      <c r="J107" s="69"/>
      <c r="K107" s="46"/>
      <c r="L107" s="47"/>
      <c r="M107" s="47"/>
      <c r="N107" s="48"/>
      <c r="O107" s="46" t="s">
        <v>229</v>
      </c>
      <c r="P107" s="47"/>
      <c r="Q107" s="48"/>
      <c r="R107" s="46"/>
      <c r="S107" s="48"/>
      <c r="T107" s="49" t="s">
        <v>230</v>
      </c>
      <c r="U107" s="48"/>
      <c r="V107" s="46"/>
      <c r="W107" s="48"/>
      <c r="X107" s="50"/>
      <c r="Y107" s="51"/>
    </row>
    <row r="108" spans="1:25" ht="30" customHeight="1" x14ac:dyDescent="0.25">
      <c r="A108" s="37">
        <v>3</v>
      </c>
      <c r="B108" s="36" t="s">
        <v>147</v>
      </c>
      <c r="C108" s="46" t="s">
        <v>239</v>
      </c>
      <c r="D108" s="47"/>
      <c r="E108" s="47"/>
      <c r="F108" s="48"/>
      <c r="G108" s="49" t="s">
        <v>62</v>
      </c>
      <c r="H108" s="47"/>
      <c r="I108" s="47"/>
      <c r="J108" s="48"/>
      <c r="K108" s="46"/>
      <c r="L108" s="47"/>
      <c r="M108" s="47"/>
      <c r="N108" s="48"/>
      <c r="O108" s="46" t="s">
        <v>231</v>
      </c>
      <c r="P108" s="47"/>
      <c r="Q108" s="48"/>
      <c r="R108" s="46"/>
      <c r="S108" s="48"/>
      <c r="T108" s="46"/>
      <c r="U108" s="48"/>
      <c r="V108" s="46"/>
      <c r="W108" s="48"/>
      <c r="X108" s="50"/>
      <c r="Y108" s="51"/>
    </row>
    <row r="109" spans="1:25" ht="30" customHeight="1" x14ac:dyDescent="0.25">
      <c r="A109" s="37">
        <v>4</v>
      </c>
      <c r="B109" s="36" t="s">
        <v>240</v>
      </c>
      <c r="C109" s="46" t="s">
        <v>241</v>
      </c>
      <c r="D109" s="47"/>
      <c r="E109" s="47"/>
      <c r="F109" s="48"/>
      <c r="G109" s="49" t="s">
        <v>66</v>
      </c>
      <c r="H109" s="47"/>
      <c r="I109" s="47"/>
      <c r="J109" s="48"/>
      <c r="K109" s="46"/>
      <c r="L109" s="47"/>
      <c r="M109" s="47"/>
      <c r="N109" s="48"/>
      <c r="O109" s="46" t="s">
        <v>231</v>
      </c>
      <c r="P109" s="47"/>
      <c r="Q109" s="48"/>
      <c r="R109" s="46"/>
      <c r="S109" s="48"/>
      <c r="T109" s="46"/>
      <c r="U109" s="48"/>
      <c r="V109" s="46"/>
      <c r="W109" s="48"/>
      <c r="X109" s="50"/>
      <c r="Y109" s="51"/>
    </row>
    <row r="110" spans="1:25" ht="30" customHeight="1" x14ac:dyDescent="0.25">
      <c r="A110" s="37">
        <v>5</v>
      </c>
      <c r="B110" s="36" t="s">
        <v>242</v>
      </c>
      <c r="C110" s="46" t="s">
        <v>243</v>
      </c>
      <c r="D110" s="47"/>
      <c r="E110" s="47"/>
      <c r="F110" s="48"/>
      <c r="G110" s="49" t="s">
        <v>62</v>
      </c>
      <c r="H110" s="47"/>
      <c r="I110" s="47"/>
      <c r="J110" s="48"/>
      <c r="K110" s="46"/>
      <c r="L110" s="47"/>
      <c r="M110" s="47"/>
      <c r="N110" s="48"/>
      <c r="O110" s="46" t="s">
        <v>231</v>
      </c>
      <c r="P110" s="47"/>
      <c r="Q110" s="48"/>
      <c r="R110" s="46"/>
      <c r="S110" s="48"/>
      <c r="T110" s="46"/>
      <c r="U110" s="48"/>
      <c r="V110" s="46"/>
      <c r="W110" s="48"/>
      <c r="X110" s="50"/>
      <c r="Y110" s="51"/>
    </row>
    <row r="111" spans="1:25" ht="15.75" customHeight="1" thickBot="1" x14ac:dyDescent="0.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 spans="1:25" ht="54" customHeight="1" thickTop="1" x14ac:dyDescent="0.25">
      <c r="A112" s="20">
        <f>'Invetario de Tablas'!A19</f>
        <v>16</v>
      </c>
      <c r="B112" s="29" t="s">
        <v>28</v>
      </c>
      <c r="C112" s="54" t="str">
        <f>'Invetario de Tablas'!B19</f>
        <v>intercambio</v>
      </c>
      <c r="D112" s="55"/>
      <c r="E112" s="55"/>
      <c r="F112" s="56"/>
      <c r="G112" s="57" t="s">
        <v>29</v>
      </c>
      <c r="H112" s="58"/>
      <c r="I112" s="58"/>
      <c r="J112" s="59"/>
      <c r="K112" s="60" t="str">
        <f>'Invetario de Tablas'!C19</f>
        <v>Intercambio de bienes acordado por dos apicultores</v>
      </c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2"/>
      <c r="X112" s="21" t="s">
        <v>32</v>
      </c>
      <c r="Y112" s="22"/>
    </row>
    <row r="113" spans="1:25" ht="60" customHeight="1" x14ac:dyDescent="0.25">
      <c r="A113" s="23" t="s">
        <v>1</v>
      </c>
      <c r="B113" s="24" t="s">
        <v>33</v>
      </c>
      <c r="C113" s="52" t="s">
        <v>34</v>
      </c>
      <c r="D113" s="64"/>
      <c r="E113" s="64"/>
      <c r="F113" s="65"/>
      <c r="G113" s="52" t="s">
        <v>35</v>
      </c>
      <c r="H113" s="64"/>
      <c r="I113" s="64"/>
      <c r="J113" s="65"/>
      <c r="K113" s="52" t="s">
        <v>36</v>
      </c>
      <c r="L113" s="64"/>
      <c r="M113" s="64"/>
      <c r="N113" s="65"/>
      <c r="O113" s="52" t="s">
        <v>37</v>
      </c>
      <c r="P113" s="64"/>
      <c r="Q113" s="65"/>
      <c r="R113" s="52" t="s">
        <v>38</v>
      </c>
      <c r="S113" s="65"/>
      <c r="T113" s="52" t="s">
        <v>39</v>
      </c>
      <c r="U113" s="65"/>
      <c r="V113" s="52" t="s">
        <v>40</v>
      </c>
      <c r="W113" s="65"/>
      <c r="X113" s="52" t="s">
        <v>41</v>
      </c>
      <c r="Y113" s="53"/>
    </row>
    <row r="114" spans="1:25" ht="30" customHeight="1" x14ac:dyDescent="0.25">
      <c r="A114" s="37">
        <v>1</v>
      </c>
      <c r="B114" s="36" t="s">
        <v>244</v>
      </c>
      <c r="C114" s="46" t="s">
        <v>245</v>
      </c>
      <c r="D114" s="47"/>
      <c r="E114" s="47"/>
      <c r="F114" s="48"/>
      <c r="G114" s="67" t="s">
        <v>46</v>
      </c>
      <c r="H114" s="42"/>
      <c r="I114" s="42"/>
      <c r="J114" s="43"/>
      <c r="K114" s="46"/>
      <c r="L114" s="47"/>
      <c r="M114" s="47"/>
      <c r="N114" s="48"/>
      <c r="O114" s="46" t="s">
        <v>229</v>
      </c>
      <c r="P114" s="47"/>
      <c r="Q114" s="48"/>
      <c r="R114" s="49" t="s">
        <v>230</v>
      </c>
      <c r="S114" s="48"/>
      <c r="T114" s="46"/>
      <c r="U114" s="48"/>
      <c r="V114" s="49" t="s">
        <v>230</v>
      </c>
      <c r="W114" s="48"/>
      <c r="X114" s="50"/>
      <c r="Y114" s="51"/>
    </row>
    <row r="115" spans="1:25" ht="30" customHeight="1" x14ac:dyDescent="0.25">
      <c r="A115" s="37">
        <v>2</v>
      </c>
      <c r="B115" s="36" t="s">
        <v>164</v>
      </c>
      <c r="C115" s="46" t="s">
        <v>246</v>
      </c>
      <c r="D115" s="47"/>
      <c r="E115" s="47"/>
      <c r="F115" s="48"/>
      <c r="G115" s="49" t="s">
        <v>66</v>
      </c>
      <c r="H115" s="47"/>
      <c r="I115" s="47"/>
      <c r="J115" s="48"/>
      <c r="K115" s="46"/>
      <c r="L115" s="47"/>
      <c r="M115" s="47"/>
      <c r="N115" s="48"/>
      <c r="O115" s="46" t="s">
        <v>229</v>
      </c>
      <c r="P115" s="47"/>
      <c r="Q115" s="48"/>
      <c r="R115" s="46"/>
      <c r="S115" s="48"/>
      <c r="T115" s="46"/>
      <c r="U115" s="48"/>
      <c r="V115" s="46"/>
      <c r="W115" s="48"/>
      <c r="X115" s="50"/>
      <c r="Y115" s="51"/>
    </row>
    <row r="116" spans="1:25" ht="30" customHeight="1" x14ac:dyDescent="0.25">
      <c r="A116" s="37">
        <v>3</v>
      </c>
      <c r="B116" s="36" t="s">
        <v>147</v>
      </c>
      <c r="C116" s="46" t="s">
        <v>247</v>
      </c>
      <c r="D116" s="47"/>
      <c r="E116" s="47"/>
      <c r="F116" s="48"/>
      <c r="G116" s="49" t="s">
        <v>62</v>
      </c>
      <c r="H116" s="47"/>
      <c r="I116" s="47"/>
      <c r="J116" s="48"/>
      <c r="K116" s="46"/>
      <c r="L116" s="47"/>
      <c r="M116" s="47"/>
      <c r="N116" s="48"/>
      <c r="O116" s="46" t="s">
        <v>231</v>
      </c>
      <c r="P116" s="47"/>
      <c r="Q116" s="48"/>
      <c r="R116" s="46"/>
      <c r="S116" s="48"/>
      <c r="T116" s="46"/>
      <c r="U116" s="48"/>
      <c r="V116" s="46"/>
      <c r="W116" s="48"/>
      <c r="X116" s="50"/>
      <c r="Y116" s="51"/>
    </row>
    <row r="117" spans="1:25" ht="30" customHeight="1" x14ac:dyDescent="0.25">
      <c r="A117" s="37">
        <v>4</v>
      </c>
      <c r="B117" s="36" t="s">
        <v>248</v>
      </c>
      <c r="C117" s="46" t="s">
        <v>249</v>
      </c>
      <c r="D117" s="47"/>
      <c r="E117" s="47"/>
      <c r="F117" s="48"/>
      <c r="G117" s="49" t="s">
        <v>310</v>
      </c>
      <c r="H117" s="47"/>
      <c r="I117" s="47"/>
      <c r="J117" s="48"/>
      <c r="K117" s="46">
        <v>30</v>
      </c>
      <c r="L117" s="47"/>
      <c r="M117" s="47"/>
      <c r="N117" s="48"/>
      <c r="O117" s="46" t="s">
        <v>231</v>
      </c>
      <c r="P117" s="47"/>
      <c r="Q117" s="48"/>
      <c r="R117" s="46"/>
      <c r="S117" s="48"/>
      <c r="T117" s="46"/>
      <c r="U117" s="48"/>
      <c r="V117" s="46"/>
      <c r="W117" s="48"/>
      <c r="X117" s="50" t="s">
        <v>314</v>
      </c>
      <c r="Y117" s="51"/>
    </row>
    <row r="118" spans="1:25" ht="30" customHeight="1" x14ac:dyDescent="0.25">
      <c r="A118" s="37">
        <v>5</v>
      </c>
      <c r="B118" s="36" t="s">
        <v>250</v>
      </c>
      <c r="C118" s="46" t="s">
        <v>251</v>
      </c>
      <c r="D118" s="47"/>
      <c r="E118" s="47"/>
      <c r="F118" s="48"/>
      <c r="G118" s="49" t="s">
        <v>310</v>
      </c>
      <c r="H118" s="47"/>
      <c r="I118" s="47"/>
      <c r="J118" s="48"/>
      <c r="K118" s="46">
        <v>100</v>
      </c>
      <c r="L118" s="47"/>
      <c r="M118" s="47"/>
      <c r="N118" s="48"/>
      <c r="O118" s="46" t="s">
        <v>231</v>
      </c>
      <c r="P118" s="47"/>
      <c r="Q118" s="48"/>
      <c r="R118" s="46"/>
      <c r="S118" s="48"/>
      <c r="T118" s="46"/>
      <c r="U118" s="48"/>
      <c r="V118" s="46"/>
      <c r="W118" s="48"/>
      <c r="X118" s="50"/>
      <c r="Y118" s="51"/>
    </row>
    <row r="119" spans="1:25" ht="48" customHeight="1" thickBot="1" x14ac:dyDescent="0.3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 spans="1:25" ht="54" customHeight="1" thickTop="1" x14ac:dyDescent="0.25">
      <c r="A120" s="20">
        <f>'Invetario de Tablas'!A20</f>
        <v>17</v>
      </c>
      <c r="B120" s="29" t="s">
        <v>28</v>
      </c>
      <c r="C120" s="54" t="str">
        <f>'Invetario de Tablas'!B20</f>
        <v>detalle_intercambio</v>
      </c>
      <c r="D120" s="55"/>
      <c r="E120" s="55"/>
      <c r="F120" s="56"/>
      <c r="G120" s="57" t="s">
        <v>29</v>
      </c>
      <c r="H120" s="58"/>
      <c r="I120" s="58"/>
      <c r="J120" s="59"/>
      <c r="K120" s="60" t="str">
        <f>'Invetario de Tablas'!C20</f>
        <v>Detalle del intercambio de vienes que se realizo</v>
      </c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2"/>
      <c r="X120" s="21" t="s">
        <v>32</v>
      </c>
      <c r="Y120" s="22"/>
    </row>
    <row r="121" spans="1:25" ht="60" customHeight="1" x14ac:dyDescent="0.25">
      <c r="A121" s="23" t="s">
        <v>1</v>
      </c>
      <c r="B121" s="24" t="s">
        <v>33</v>
      </c>
      <c r="C121" s="52" t="s">
        <v>34</v>
      </c>
      <c r="D121" s="64"/>
      <c r="E121" s="64"/>
      <c r="F121" s="65"/>
      <c r="G121" s="52" t="s">
        <v>35</v>
      </c>
      <c r="H121" s="64"/>
      <c r="I121" s="64"/>
      <c r="J121" s="65"/>
      <c r="K121" s="52" t="s">
        <v>36</v>
      </c>
      <c r="L121" s="64"/>
      <c r="M121" s="64"/>
      <c r="N121" s="65"/>
      <c r="O121" s="52" t="s">
        <v>37</v>
      </c>
      <c r="P121" s="64"/>
      <c r="Q121" s="65"/>
      <c r="R121" s="52" t="s">
        <v>38</v>
      </c>
      <c r="S121" s="65"/>
      <c r="T121" s="52" t="s">
        <v>39</v>
      </c>
      <c r="U121" s="65"/>
      <c r="V121" s="52" t="s">
        <v>40</v>
      </c>
      <c r="W121" s="65"/>
      <c r="X121" s="52" t="s">
        <v>41</v>
      </c>
      <c r="Y121" s="53"/>
    </row>
    <row r="122" spans="1:25" ht="30" customHeight="1" x14ac:dyDescent="0.25">
      <c r="A122" s="37">
        <v>1</v>
      </c>
      <c r="B122" s="36" t="s">
        <v>252</v>
      </c>
      <c r="C122" s="46" t="s">
        <v>253</v>
      </c>
      <c r="D122" s="47"/>
      <c r="E122" s="47"/>
      <c r="F122" s="48"/>
      <c r="G122" s="67" t="s">
        <v>46</v>
      </c>
      <c r="H122" s="42"/>
      <c r="I122" s="42"/>
      <c r="J122" s="43"/>
      <c r="K122" s="46"/>
      <c r="L122" s="47"/>
      <c r="M122" s="47"/>
      <c r="N122" s="48"/>
      <c r="O122" s="46" t="s">
        <v>229</v>
      </c>
      <c r="P122" s="47"/>
      <c r="Q122" s="48"/>
      <c r="R122" s="49" t="s">
        <v>230</v>
      </c>
      <c r="S122" s="48"/>
      <c r="T122" s="46"/>
      <c r="U122" s="48"/>
      <c r="V122" s="49" t="s">
        <v>230</v>
      </c>
      <c r="W122" s="48"/>
      <c r="X122" s="50"/>
      <c r="Y122" s="51"/>
    </row>
    <row r="123" spans="1:25" ht="30" customHeight="1" x14ac:dyDescent="0.25">
      <c r="A123" s="37">
        <v>2</v>
      </c>
      <c r="B123" s="36" t="s">
        <v>244</v>
      </c>
      <c r="C123" s="46" t="s">
        <v>320</v>
      </c>
      <c r="D123" s="47"/>
      <c r="E123" s="47"/>
      <c r="F123" s="48"/>
      <c r="G123" s="67" t="s">
        <v>54</v>
      </c>
      <c r="H123" s="68"/>
      <c r="I123" s="68"/>
      <c r="J123" s="69"/>
      <c r="K123" s="46"/>
      <c r="L123" s="47"/>
      <c r="M123" s="47"/>
      <c r="N123" s="48"/>
      <c r="O123" s="46" t="s">
        <v>229</v>
      </c>
      <c r="P123" s="47"/>
      <c r="Q123" s="48"/>
      <c r="R123" s="46"/>
      <c r="S123" s="48"/>
      <c r="T123" s="49" t="s">
        <v>230</v>
      </c>
      <c r="U123" s="48"/>
      <c r="V123" s="46"/>
      <c r="W123" s="48"/>
      <c r="X123" s="50"/>
      <c r="Y123" s="51"/>
    </row>
    <row r="124" spans="1:25" ht="30" customHeight="1" x14ac:dyDescent="0.25">
      <c r="A124" s="37">
        <v>3</v>
      </c>
      <c r="B124" s="36" t="s">
        <v>89</v>
      </c>
      <c r="C124" s="46" t="s">
        <v>321</v>
      </c>
      <c r="D124" s="47"/>
      <c r="E124" s="47"/>
      <c r="F124" s="48"/>
      <c r="G124" s="49" t="s">
        <v>310</v>
      </c>
      <c r="H124" s="47"/>
      <c r="I124" s="47"/>
      <c r="J124" s="48"/>
      <c r="K124" s="46">
        <v>50</v>
      </c>
      <c r="L124" s="47"/>
      <c r="M124" s="47"/>
      <c r="N124" s="48"/>
      <c r="O124" s="46" t="s">
        <v>229</v>
      </c>
      <c r="P124" s="47"/>
      <c r="Q124" s="48"/>
      <c r="R124" s="46"/>
      <c r="S124" s="48"/>
      <c r="T124" s="46"/>
      <c r="U124" s="48"/>
      <c r="V124" s="46"/>
      <c r="W124" s="48"/>
      <c r="X124" s="50"/>
      <c r="Y124" s="51"/>
    </row>
    <row r="125" spans="1:25" ht="30" customHeight="1" x14ac:dyDescent="0.25">
      <c r="A125" s="37">
        <v>4</v>
      </c>
      <c r="B125" s="36" t="s">
        <v>176</v>
      </c>
      <c r="C125" s="46" t="s">
        <v>322</v>
      </c>
      <c r="D125" s="47"/>
      <c r="E125" s="47"/>
      <c r="F125" s="48"/>
      <c r="G125" s="67" t="s">
        <v>54</v>
      </c>
      <c r="H125" s="68"/>
      <c r="I125" s="68"/>
      <c r="J125" s="69"/>
      <c r="K125" s="46"/>
      <c r="L125" s="47"/>
      <c r="M125" s="47"/>
      <c r="N125" s="48"/>
      <c r="O125" s="46" t="s">
        <v>229</v>
      </c>
      <c r="P125" s="47"/>
      <c r="Q125" s="48"/>
      <c r="R125" s="46"/>
      <c r="S125" s="48"/>
      <c r="T125" s="46"/>
      <c r="U125" s="48"/>
      <c r="V125" s="46"/>
      <c r="W125" s="48"/>
      <c r="X125" s="50"/>
      <c r="Y125" s="51"/>
    </row>
    <row r="126" spans="1:25" ht="48" customHeight="1" thickBot="1" x14ac:dyDescent="0.3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 spans="1:25" ht="54" customHeight="1" thickTop="1" x14ac:dyDescent="0.25">
      <c r="A127" s="20">
        <f>'Invetario de Tablas'!A21</f>
        <v>18</v>
      </c>
      <c r="B127" s="29" t="s">
        <v>28</v>
      </c>
      <c r="C127" s="54" t="str">
        <f>'Invetario de Tablas'!B21</f>
        <v>mercado</v>
      </c>
      <c r="D127" s="55"/>
      <c r="E127" s="55"/>
      <c r="F127" s="56"/>
      <c r="G127" s="57" t="s">
        <v>29</v>
      </c>
      <c r="H127" s="58"/>
      <c r="I127" s="58"/>
      <c r="J127" s="59"/>
      <c r="K127" s="60" t="str">
        <f>'Invetario de Tablas'!C21</f>
        <v>Mercado o lugar fisico/virtual donde se hacen las compra y ventas de los productos apicolas</v>
      </c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2"/>
      <c r="X127" s="21" t="s">
        <v>32</v>
      </c>
      <c r="Y127" s="22"/>
    </row>
    <row r="128" spans="1:25" ht="60" customHeight="1" x14ac:dyDescent="0.25">
      <c r="A128" s="23" t="s">
        <v>1</v>
      </c>
      <c r="B128" s="24" t="s">
        <v>33</v>
      </c>
      <c r="C128" s="52" t="s">
        <v>34</v>
      </c>
      <c r="D128" s="64"/>
      <c r="E128" s="64"/>
      <c r="F128" s="65"/>
      <c r="G128" s="52" t="s">
        <v>35</v>
      </c>
      <c r="H128" s="64"/>
      <c r="I128" s="64"/>
      <c r="J128" s="65"/>
      <c r="K128" s="52" t="s">
        <v>36</v>
      </c>
      <c r="L128" s="64"/>
      <c r="M128" s="64"/>
      <c r="N128" s="65"/>
      <c r="O128" s="52" t="s">
        <v>37</v>
      </c>
      <c r="P128" s="64"/>
      <c r="Q128" s="65"/>
      <c r="R128" s="52" t="s">
        <v>38</v>
      </c>
      <c r="S128" s="65"/>
      <c r="T128" s="52" t="s">
        <v>39</v>
      </c>
      <c r="U128" s="65"/>
      <c r="V128" s="52" t="s">
        <v>40</v>
      </c>
      <c r="W128" s="65"/>
      <c r="X128" s="52" t="s">
        <v>41</v>
      </c>
      <c r="Y128" s="53"/>
    </row>
    <row r="129" spans="1:25" ht="30" customHeight="1" x14ac:dyDescent="0.25">
      <c r="A129" s="37">
        <v>1</v>
      </c>
      <c r="B129" s="36" t="s">
        <v>257</v>
      </c>
      <c r="C129" s="46" t="s">
        <v>258</v>
      </c>
      <c r="D129" s="47"/>
      <c r="E129" s="47"/>
      <c r="F129" s="48"/>
      <c r="G129" s="67" t="s">
        <v>46</v>
      </c>
      <c r="H129" s="42"/>
      <c r="I129" s="42"/>
      <c r="J129" s="43"/>
      <c r="K129" s="46"/>
      <c r="L129" s="47"/>
      <c r="M129" s="47"/>
      <c r="N129" s="48"/>
      <c r="O129" s="46" t="s">
        <v>229</v>
      </c>
      <c r="P129" s="47"/>
      <c r="Q129" s="48"/>
      <c r="R129" s="49" t="s">
        <v>230</v>
      </c>
      <c r="S129" s="48"/>
      <c r="T129" s="46"/>
      <c r="U129" s="48"/>
      <c r="V129" s="49" t="s">
        <v>230</v>
      </c>
      <c r="W129" s="48"/>
      <c r="X129" s="50"/>
      <c r="Y129" s="51"/>
    </row>
    <row r="130" spans="1:25" ht="30" customHeight="1" x14ac:dyDescent="0.25">
      <c r="A130" s="37">
        <v>2</v>
      </c>
      <c r="B130" s="36" t="s">
        <v>146</v>
      </c>
      <c r="C130" s="46" t="s">
        <v>259</v>
      </c>
      <c r="D130" s="47"/>
      <c r="E130" s="47"/>
      <c r="F130" s="48"/>
      <c r="G130" s="49" t="s">
        <v>310</v>
      </c>
      <c r="H130" s="47"/>
      <c r="I130" s="47"/>
      <c r="J130" s="48"/>
      <c r="K130" s="46">
        <v>100</v>
      </c>
      <c r="L130" s="47"/>
      <c r="M130" s="47"/>
      <c r="N130" s="48"/>
      <c r="O130" s="46" t="s">
        <v>229</v>
      </c>
      <c r="P130" s="47"/>
      <c r="Q130" s="48"/>
      <c r="R130" s="46"/>
      <c r="S130" s="48"/>
      <c r="T130" s="46"/>
      <c r="U130" s="48"/>
      <c r="V130" s="46"/>
      <c r="W130" s="48"/>
      <c r="X130" s="50"/>
      <c r="Y130" s="51"/>
    </row>
    <row r="131" spans="1:25" ht="30" customHeight="1" x14ac:dyDescent="0.25">
      <c r="A131" s="37">
        <v>3</v>
      </c>
      <c r="B131" s="36" t="s">
        <v>147</v>
      </c>
      <c r="C131" s="46" t="s">
        <v>260</v>
      </c>
      <c r="D131" s="47"/>
      <c r="E131" s="47"/>
      <c r="F131" s="48"/>
      <c r="G131" s="49" t="s">
        <v>62</v>
      </c>
      <c r="H131" s="47"/>
      <c r="I131" s="47"/>
      <c r="J131" s="48"/>
      <c r="K131" s="46"/>
      <c r="L131" s="47"/>
      <c r="M131" s="47"/>
      <c r="N131" s="48"/>
      <c r="O131" s="46" t="s">
        <v>231</v>
      </c>
      <c r="P131" s="47"/>
      <c r="Q131" s="48"/>
      <c r="R131" s="46"/>
      <c r="S131" s="48"/>
      <c r="T131" s="46"/>
      <c r="U131" s="48"/>
      <c r="V131" s="46"/>
      <c r="W131" s="48"/>
      <c r="X131" s="50"/>
      <c r="Y131" s="51"/>
    </row>
    <row r="132" spans="1:25" ht="30" customHeight="1" x14ac:dyDescent="0.25">
      <c r="A132" s="37">
        <v>4</v>
      </c>
      <c r="B132" s="36" t="s">
        <v>261</v>
      </c>
      <c r="C132" s="46" t="s">
        <v>262</v>
      </c>
      <c r="D132" s="47"/>
      <c r="E132" s="47"/>
      <c r="F132" s="48"/>
      <c r="G132" s="49" t="s">
        <v>310</v>
      </c>
      <c r="H132" s="47"/>
      <c r="I132" s="47"/>
      <c r="J132" s="48"/>
      <c r="K132" s="46">
        <v>100</v>
      </c>
      <c r="L132" s="47"/>
      <c r="M132" s="47"/>
      <c r="N132" s="48"/>
      <c r="O132" s="46" t="s">
        <v>231</v>
      </c>
      <c r="P132" s="47"/>
      <c r="Q132" s="48"/>
      <c r="R132" s="46"/>
      <c r="S132" s="48"/>
      <c r="T132" s="46"/>
      <c r="U132" s="48"/>
      <c r="V132" s="46"/>
      <c r="W132" s="48"/>
      <c r="X132" s="50"/>
      <c r="Y132" s="51"/>
    </row>
    <row r="133" spans="1:25" ht="48" customHeight="1" thickBot="1" x14ac:dyDescent="0.3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 spans="1:25" ht="54" customHeight="1" thickTop="1" x14ac:dyDescent="0.25">
      <c r="A134" s="20">
        <f>'Invetario de Tablas'!A22</f>
        <v>19</v>
      </c>
      <c r="B134" s="29" t="s">
        <v>28</v>
      </c>
      <c r="C134" s="54" t="str">
        <f>'Invetario de Tablas'!B22</f>
        <v>gestion</v>
      </c>
      <c r="D134" s="55"/>
      <c r="E134" s="55"/>
      <c r="F134" s="56"/>
      <c r="G134" s="57" t="s">
        <v>29</v>
      </c>
      <c r="H134" s="58"/>
      <c r="I134" s="58"/>
      <c r="J134" s="59"/>
      <c r="K134" s="60" t="str">
        <f>'Invetario de Tablas'!C22</f>
        <v>Registro administrativo</v>
      </c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2"/>
      <c r="X134" s="21" t="s">
        <v>32</v>
      </c>
      <c r="Y134" s="22"/>
    </row>
    <row r="135" spans="1:25" ht="60" customHeight="1" x14ac:dyDescent="0.25">
      <c r="A135" s="23" t="s">
        <v>1</v>
      </c>
      <c r="B135" s="24" t="s">
        <v>33</v>
      </c>
      <c r="C135" s="52" t="s">
        <v>34</v>
      </c>
      <c r="D135" s="64"/>
      <c r="E135" s="64"/>
      <c r="F135" s="65"/>
      <c r="G135" s="52" t="s">
        <v>35</v>
      </c>
      <c r="H135" s="64"/>
      <c r="I135" s="64"/>
      <c r="J135" s="65"/>
      <c r="K135" s="52" t="s">
        <v>36</v>
      </c>
      <c r="L135" s="64"/>
      <c r="M135" s="64"/>
      <c r="N135" s="65"/>
      <c r="O135" s="52" t="s">
        <v>37</v>
      </c>
      <c r="P135" s="64"/>
      <c r="Q135" s="65"/>
      <c r="R135" s="52" t="s">
        <v>38</v>
      </c>
      <c r="S135" s="65"/>
      <c r="T135" s="52" t="s">
        <v>39</v>
      </c>
      <c r="U135" s="65"/>
      <c r="V135" s="52" t="s">
        <v>40</v>
      </c>
      <c r="W135" s="65"/>
      <c r="X135" s="52" t="s">
        <v>41</v>
      </c>
      <c r="Y135" s="53"/>
    </row>
    <row r="136" spans="1:25" ht="30" customHeight="1" x14ac:dyDescent="0.3">
      <c r="A136" s="37">
        <v>1</v>
      </c>
      <c r="B136" s="36" t="s">
        <v>263</v>
      </c>
      <c r="C136" s="46" t="s">
        <v>264</v>
      </c>
      <c r="D136" s="47"/>
      <c r="E136" s="47"/>
      <c r="F136" s="48"/>
      <c r="G136" s="67" t="s">
        <v>46</v>
      </c>
      <c r="H136" s="42"/>
      <c r="I136" s="42"/>
      <c r="J136" s="43"/>
      <c r="K136" s="46"/>
      <c r="L136" s="47"/>
      <c r="M136" s="47"/>
      <c r="N136" s="48"/>
      <c r="O136" s="46" t="s">
        <v>229</v>
      </c>
      <c r="P136" s="47"/>
      <c r="Q136" s="48"/>
      <c r="R136" s="66" t="s">
        <v>230</v>
      </c>
      <c r="S136" s="48"/>
      <c r="T136" s="46"/>
      <c r="U136" s="48"/>
      <c r="V136" s="66" t="s">
        <v>230</v>
      </c>
      <c r="W136" s="48"/>
      <c r="X136" s="50"/>
      <c r="Y136" s="51"/>
    </row>
    <row r="137" spans="1:25" ht="30" customHeight="1" x14ac:dyDescent="0.3">
      <c r="A137" s="37">
        <v>2</v>
      </c>
      <c r="B137" s="36" t="s">
        <v>145</v>
      </c>
      <c r="C137" s="46" t="s">
        <v>265</v>
      </c>
      <c r="D137" s="47"/>
      <c r="E137" s="47"/>
      <c r="F137" s="48"/>
      <c r="G137" s="67" t="s">
        <v>54</v>
      </c>
      <c r="H137" s="68"/>
      <c r="I137" s="68"/>
      <c r="J137" s="69"/>
      <c r="K137" s="46"/>
      <c r="L137" s="47"/>
      <c r="M137" s="47"/>
      <c r="N137" s="48"/>
      <c r="O137" s="46" t="s">
        <v>229</v>
      </c>
      <c r="P137" s="47"/>
      <c r="Q137" s="48"/>
      <c r="R137" s="46"/>
      <c r="S137" s="48"/>
      <c r="T137" s="66" t="s">
        <v>230</v>
      </c>
      <c r="U137" s="48"/>
      <c r="V137" s="46"/>
      <c r="W137" s="48"/>
      <c r="X137" s="50"/>
      <c r="Y137" s="51"/>
    </row>
    <row r="138" spans="1:25" ht="30" customHeight="1" x14ac:dyDescent="0.25">
      <c r="A138" s="37">
        <v>3</v>
      </c>
      <c r="B138" s="36" t="s">
        <v>147</v>
      </c>
      <c r="C138" s="46" t="s">
        <v>266</v>
      </c>
      <c r="D138" s="47"/>
      <c r="E138" s="47"/>
      <c r="F138" s="48"/>
      <c r="G138" s="49" t="s">
        <v>62</v>
      </c>
      <c r="H138" s="47"/>
      <c r="I138" s="47"/>
      <c r="J138" s="48"/>
      <c r="K138" s="46"/>
      <c r="L138" s="47"/>
      <c r="M138" s="47"/>
      <c r="N138" s="48"/>
      <c r="O138" s="46" t="s">
        <v>231</v>
      </c>
      <c r="P138" s="47"/>
      <c r="Q138" s="48"/>
      <c r="R138" s="46"/>
      <c r="S138" s="48"/>
      <c r="T138" s="46"/>
      <c r="U138" s="48"/>
      <c r="V138" s="46"/>
      <c r="W138" s="48"/>
      <c r="X138" s="50"/>
      <c r="Y138" s="51"/>
    </row>
    <row r="139" spans="1:25" ht="30" customHeight="1" x14ac:dyDescent="0.25">
      <c r="A139" s="37">
        <v>4</v>
      </c>
      <c r="B139" s="36" t="s">
        <v>164</v>
      </c>
      <c r="C139" s="46" t="s">
        <v>267</v>
      </c>
      <c r="D139" s="47"/>
      <c r="E139" s="47"/>
      <c r="F139" s="48"/>
      <c r="G139" s="46" t="s">
        <v>66</v>
      </c>
      <c r="H139" s="47"/>
      <c r="I139" s="47"/>
      <c r="J139" s="48"/>
      <c r="K139" s="46"/>
      <c r="L139" s="47"/>
      <c r="M139" s="47"/>
      <c r="N139" s="48"/>
      <c r="O139" s="46" t="s">
        <v>229</v>
      </c>
      <c r="P139" s="47"/>
      <c r="Q139" s="48"/>
      <c r="R139" s="46"/>
      <c r="S139" s="48"/>
      <c r="T139" s="46"/>
      <c r="U139" s="48"/>
      <c r="V139" s="46"/>
      <c r="W139" s="48"/>
      <c r="X139" s="50"/>
      <c r="Y139" s="51"/>
    </row>
    <row r="140" spans="1:25" ht="30" customHeight="1" x14ac:dyDescent="0.25">
      <c r="A140" s="37">
        <v>5</v>
      </c>
      <c r="B140" s="36" t="s">
        <v>268</v>
      </c>
      <c r="C140" s="46" t="s">
        <v>200</v>
      </c>
      <c r="D140" s="47"/>
      <c r="E140" s="47"/>
      <c r="F140" s="48"/>
      <c r="G140" s="46" t="s">
        <v>310</v>
      </c>
      <c r="H140" s="47"/>
      <c r="I140" s="47"/>
      <c r="J140" s="48"/>
      <c r="K140" s="46">
        <v>50</v>
      </c>
      <c r="L140" s="47"/>
      <c r="M140" s="47"/>
      <c r="N140" s="48"/>
      <c r="O140" s="46" t="s">
        <v>229</v>
      </c>
      <c r="P140" s="47"/>
      <c r="Q140" s="48"/>
      <c r="R140" s="46"/>
      <c r="S140" s="48"/>
      <c r="T140" s="46"/>
      <c r="U140" s="48"/>
      <c r="V140" s="46"/>
      <c r="W140" s="48"/>
      <c r="X140" s="50"/>
      <c r="Y140" s="51"/>
    </row>
    <row r="141" spans="1:25" ht="48" customHeight="1" thickBot="1" x14ac:dyDescent="0.3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 spans="1:25" ht="54" customHeight="1" thickTop="1" x14ac:dyDescent="0.25">
      <c r="A142" s="20">
        <f>'Invetario de Tablas'!A23</f>
        <v>20</v>
      </c>
      <c r="B142" s="29" t="s">
        <v>28</v>
      </c>
      <c r="C142" s="54" t="str">
        <f>'Invetario de Tablas'!B23</f>
        <v>empleo</v>
      </c>
      <c r="D142" s="55"/>
      <c r="E142" s="55"/>
      <c r="F142" s="56"/>
      <c r="G142" s="57" t="s">
        <v>29</v>
      </c>
      <c r="H142" s="58"/>
      <c r="I142" s="58"/>
      <c r="J142" s="59"/>
      <c r="K142" s="60" t="str">
        <f>'Invetario de Tablas'!C23</f>
        <v>Publicación de oportunidades laborales</v>
      </c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2"/>
      <c r="X142" s="21" t="s">
        <v>32</v>
      </c>
      <c r="Y142" s="22"/>
    </row>
    <row r="143" spans="1:25" ht="60" customHeight="1" x14ac:dyDescent="0.25">
      <c r="A143" s="23" t="s">
        <v>1</v>
      </c>
      <c r="B143" s="24" t="s">
        <v>33</v>
      </c>
      <c r="C143" s="52" t="s">
        <v>34</v>
      </c>
      <c r="D143" s="64"/>
      <c r="E143" s="64"/>
      <c r="F143" s="65"/>
      <c r="G143" s="52" t="s">
        <v>35</v>
      </c>
      <c r="H143" s="64"/>
      <c r="I143" s="64"/>
      <c r="J143" s="65"/>
      <c r="K143" s="52" t="s">
        <v>36</v>
      </c>
      <c r="L143" s="64"/>
      <c r="M143" s="64"/>
      <c r="N143" s="65"/>
      <c r="O143" s="52" t="s">
        <v>37</v>
      </c>
      <c r="P143" s="64"/>
      <c r="Q143" s="65"/>
      <c r="R143" s="52" t="s">
        <v>38</v>
      </c>
      <c r="S143" s="65"/>
      <c r="T143" s="52" t="s">
        <v>39</v>
      </c>
      <c r="U143" s="65"/>
      <c r="V143" s="52" t="s">
        <v>40</v>
      </c>
      <c r="W143" s="65"/>
      <c r="X143" s="52" t="s">
        <v>41</v>
      </c>
      <c r="Y143" s="53"/>
    </row>
    <row r="144" spans="1:25" ht="30" customHeight="1" x14ac:dyDescent="0.3">
      <c r="A144" s="37">
        <v>1</v>
      </c>
      <c r="B144" s="36" t="s">
        <v>269</v>
      </c>
      <c r="C144" s="46" t="s">
        <v>270</v>
      </c>
      <c r="D144" s="47"/>
      <c r="E144" s="47"/>
      <c r="F144" s="48"/>
      <c r="G144" s="67" t="s">
        <v>46</v>
      </c>
      <c r="H144" s="42"/>
      <c r="I144" s="42"/>
      <c r="J144" s="43"/>
      <c r="K144" s="46"/>
      <c r="L144" s="47"/>
      <c r="M144" s="47"/>
      <c r="N144" s="48"/>
      <c r="O144" s="46" t="s">
        <v>229</v>
      </c>
      <c r="P144" s="47"/>
      <c r="Q144" s="48"/>
      <c r="R144" s="66" t="s">
        <v>230</v>
      </c>
      <c r="S144" s="48"/>
      <c r="T144" s="46"/>
      <c r="U144" s="48"/>
      <c r="V144" s="66" t="s">
        <v>230</v>
      </c>
      <c r="W144" s="48"/>
      <c r="X144" s="50"/>
      <c r="Y144" s="51"/>
    </row>
    <row r="145" spans="1:25" ht="30" customHeight="1" x14ac:dyDescent="0.3">
      <c r="A145" s="37">
        <v>2</v>
      </c>
      <c r="B145" s="36" t="s">
        <v>145</v>
      </c>
      <c r="C145" s="46" t="s">
        <v>271</v>
      </c>
      <c r="D145" s="47"/>
      <c r="E145" s="47"/>
      <c r="F145" s="48"/>
      <c r="G145" s="67" t="s">
        <v>54</v>
      </c>
      <c r="H145" s="68"/>
      <c r="I145" s="68"/>
      <c r="J145" s="69"/>
      <c r="K145" s="46"/>
      <c r="L145" s="47"/>
      <c r="M145" s="47"/>
      <c r="N145" s="48"/>
      <c r="O145" s="46" t="s">
        <v>229</v>
      </c>
      <c r="P145" s="47"/>
      <c r="Q145" s="48"/>
      <c r="R145" s="46"/>
      <c r="S145" s="48"/>
      <c r="T145" s="66" t="s">
        <v>230</v>
      </c>
      <c r="U145" s="48"/>
      <c r="V145" s="46"/>
      <c r="W145" s="48"/>
      <c r="X145" s="50"/>
      <c r="Y145" s="51"/>
    </row>
    <row r="146" spans="1:25" ht="30" customHeight="1" x14ac:dyDescent="0.25">
      <c r="A146" s="37">
        <v>3</v>
      </c>
      <c r="B146" s="36" t="s">
        <v>272</v>
      </c>
      <c r="C146" s="46" t="s">
        <v>273</v>
      </c>
      <c r="D146" s="47"/>
      <c r="E146" s="47"/>
      <c r="F146" s="48"/>
      <c r="G146" s="49" t="s">
        <v>310</v>
      </c>
      <c r="H146" s="47"/>
      <c r="I146" s="47"/>
      <c r="J146" s="48"/>
      <c r="K146" s="46">
        <v>100</v>
      </c>
      <c r="L146" s="47"/>
      <c r="M146" s="47"/>
      <c r="N146" s="48"/>
      <c r="O146" s="46" t="s">
        <v>229</v>
      </c>
      <c r="P146" s="47"/>
      <c r="Q146" s="48"/>
      <c r="R146" s="46"/>
      <c r="S146" s="48"/>
      <c r="T146" s="46"/>
      <c r="U146" s="48"/>
      <c r="V146" s="46"/>
      <c r="W146" s="48"/>
      <c r="X146" s="50"/>
      <c r="Y146" s="51"/>
    </row>
    <row r="147" spans="1:25" ht="30" customHeight="1" x14ac:dyDescent="0.25">
      <c r="A147" s="37">
        <v>4</v>
      </c>
      <c r="B147" s="36" t="s">
        <v>147</v>
      </c>
      <c r="C147" s="46" t="s">
        <v>274</v>
      </c>
      <c r="D147" s="47"/>
      <c r="E147" s="47"/>
      <c r="F147" s="48"/>
      <c r="G147" s="49" t="s">
        <v>62</v>
      </c>
      <c r="H147" s="47"/>
      <c r="I147" s="47"/>
      <c r="J147" s="48"/>
      <c r="K147" s="46"/>
      <c r="L147" s="47"/>
      <c r="M147" s="47"/>
      <c r="N147" s="48"/>
      <c r="O147" s="46" t="s">
        <v>231</v>
      </c>
      <c r="P147" s="47"/>
      <c r="Q147" s="48"/>
      <c r="R147" s="46"/>
      <c r="S147" s="48"/>
      <c r="T147" s="46"/>
      <c r="U147" s="48"/>
      <c r="V147" s="46"/>
      <c r="W147" s="48"/>
      <c r="X147" s="50"/>
      <c r="Y147" s="51"/>
    </row>
    <row r="148" spans="1:25" ht="30" customHeight="1" x14ac:dyDescent="0.25">
      <c r="A148" s="37">
        <v>5</v>
      </c>
      <c r="B148" s="36" t="s">
        <v>275</v>
      </c>
      <c r="C148" s="46" t="s">
        <v>276</v>
      </c>
      <c r="D148" s="47"/>
      <c r="E148" s="47"/>
      <c r="F148" s="48"/>
      <c r="G148" s="46" t="s">
        <v>66</v>
      </c>
      <c r="H148" s="47"/>
      <c r="I148" s="47"/>
      <c r="J148" s="48"/>
      <c r="K148" s="46"/>
      <c r="L148" s="47"/>
      <c r="M148" s="47"/>
      <c r="N148" s="48"/>
      <c r="O148" s="46" t="s">
        <v>229</v>
      </c>
      <c r="P148" s="47"/>
      <c r="Q148" s="48"/>
      <c r="R148" s="46"/>
      <c r="S148" s="48"/>
      <c r="T148" s="46"/>
      <c r="U148" s="48"/>
      <c r="V148" s="46"/>
      <c r="W148" s="48"/>
      <c r="X148" s="50"/>
      <c r="Y148" s="51"/>
    </row>
    <row r="149" spans="1:25" ht="48" customHeight="1" thickBot="1" x14ac:dyDescent="0.3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 spans="1:25" ht="54" customHeight="1" thickTop="1" x14ac:dyDescent="0.25">
      <c r="A150" s="20">
        <f>'Invetario de Tablas'!A24</f>
        <v>21</v>
      </c>
      <c r="B150" s="29" t="s">
        <v>28</v>
      </c>
      <c r="C150" s="54" t="str">
        <f>'Invetario de Tablas'!B24</f>
        <v>investigacion</v>
      </c>
      <c r="D150" s="55"/>
      <c r="E150" s="55"/>
      <c r="F150" s="56"/>
      <c r="G150" s="57" t="s">
        <v>29</v>
      </c>
      <c r="H150" s="58"/>
      <c r="I150" s="58"/>
      <c r="J150" s="59"/>
      <c r="K150" s="60" t="str">
        <f>'Invetario de Tablas'!C24</f>
        <v>Documento o publicación que contiene información técnica o científica</v>
      </c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2"/>
      <c r="X150" s="21" t="s">
        <v>32</v>
      </c>
      <c r="Y150" s="22"/>
    </row>
    <row r="151" spans="1:25" ht="60" customHeight="1" x14ac:dyDescent="0.25">
      <c r="A151" s="23" t="s">
        <v>1</v>
      </c>
      <c r="B151" s="24" t="s">
        <v>33</v>
      </c>
      <c r="C151" s="52" t="s">
        <v>34</v>
      </c>
      <c r="D151" s="64"/>
      <c r="E151" s="64"/>
      <c r="F151" s="65"/>
      <c r="G151" s="52" t="s">
        <v>35</v>
      </c>
      <c r="H151" s="64"/>
      <c r="I151" s="64"/>
      <c r="J151" s="65"/>
      <c r="K151" s="52" t="s">
        <v>36</v>
      </c>
      <c r="L151" s="64"/>
      <c r="M151" s="64"/>
      <c r="N151" s="65"/>
      <c r="O151" s="52" t="s">
        <v>37</v>
      </c>
      <c r="P151" s="64"/>
      <c r="Q151" s="65"/>
      <c r="R151" s="52" t="s">
        <v>38</v>
      </c>
      <c r="S151" s="65"/>
      <c r="T151" s="52" t="s">
        <v>39</v>
      </c>
      <c r="U151" s="65"/>
      <c r="V151" s="52" t="s">
        <v>40</v>
      </c>
      <c r="W151" s="65"/>
      <c r="X151" s="52" t="s">
        <v>41</v>
      </c>
      <c r="Y151" s="53"/>
    </row>
    <row r="152" spans="1:25" ht="30" customHeight="1" x14ac:dyDescent="0.3">
      <c r="A152" s="37">
        <v>1</v>
      </c>
      <c r="B152" s="36" t="s">
        <v>277</v>
      </c>
      <c r="C152" s="46" t="s">
        <v>278</v>
      </c>
      <c r="D152" s="47"/>
      <c r="E152" s="47"/>
      <c r="F152" s="48"/>
      <c r="G152" s="67" t="s">
        <v>46</v>
      </c>
      <c r="H152" s="42"/>
      <c r="I152" s="42"/>
      <c r="J152" s="43"/>
      <c r="K152" s="46"/>
      <c r="L152" s="47"/>
      <c r="M152" s="47"/>
      <c r="N152" s="48"/>
      <c r="O152" s="46" t="s">
        <v>229</v>
      </c>
      <c r="P152" s="47"/>
      <c r="Q152" s="48"/>
      <c r="R152" s="66" t="s">
        <v>230</v>
      </c>
      <c r="S152" s="48"/>
      <c r="T152" s="46"/>
      <c r="U152" s="48"/>
      <c r="V152" s="66" t="s">
        <v>230</v>
      </c>
      <c r="W152" s="48"/>
      <c r="X152" s="50"/>
      <c r="Y152" s="51"/>
    </row>
    <row r="153" spans="1:25" ht="30" customHeight="1" x14ac:dyDescent="0.3">
      <c r="A153" s="37">
        <v>2</v>
      </c>
      <c r="B153" s="36" t="s">
        <v>201</v>
      </c>
      <c r="C153" s="46" t="s">
        <v>319</v>
      </c>
      <c r="D153" s="47"/>
      <c r="E153" s="47"/>
      <c r="F153" s="48"/>
      <c r="G153" s="67" t="s">
        <v>54</v>
      </c>
      <c r="H153" s="68"/>
      <c r="I153" s="68"/>
      <c r="J153" s="69"/>
      <c r="K153" s="46"/>
      <c r="L153" s="47"/>
      <c r="M153" s="47"/>
      <c r="N153" s="48"/>
      <c r="O153" s="46" t="s">
        <v>229</v>
      </c>
      <c r="P153" s="47"/>
      <c r="Q153" s="48"/>
      <c r="R153" s="46"/>
      <c r="S153" s="48"/>
      <c r="T153" s="66" t="s">
        <v>230</v>
      </c>
      <c r="U153" s="48"/>
      <c r="V153" s="46"/>
      <c r="W153" s="48"/>
      <c r="X153" s="50"/>
      <c r="Y153" s="51"/>
    </row>
    <row r="154" spans="1:25" ht="30" customHeight="1" x14ac:dyDescent="0.25">
      <c r="A154" s="37">
        <v>3</v>
      </c>
      <c r="B154" s="36" t="s">
        <v>272</v>
      </c>
      <c r="C154" s="46" t="s">
        <v>279</v>
      </c>
      <c r="D154" s="47"/>
      <c r="E154" s="47"/>
      <c r="F154" s="48"/>
      <c r="G154" s="49" t="s">
        <v>310</v>
      </c>
      <c r="H154" s="47"/>
      <c r="I154" s="47"/>
      <c r="J154" s="48"/>
      <c r="K154" s="46">
        <v>100</v>
      </c>
      <c r="L154" s="47"/>
      <c r="M154" s="47"/>
      <c r="N154" s="48"/>
      <c r="O154" s="46" t="s">
        <v>229</v>
      </c>
      <c r="P154" s="47"/>
      <c r="Q154" s="48"/>
      <c r="R154" s="46"/>
      <c r="S154" s="48"/>
      <c r="T154" s="46"/>
      <c r="U154" s="48"/>
      <c r="V154" s="46"/>
      <c r="W154" s="48"/>
      <c r="X154" s="50"/>
      <c r="Y154" s="51"/>
    </row>
    <row r="155" spans="1:25" ht="30" customHeight="1" x14ac:dyDescent="0.25">
      <c r="A155" s="37">
        <v>4</v>
      </c>
      <c r="B155" s="36" t="s">
        <v>147</v>
      </c>
      <c r="C155" s="46" t="s">
        <v>280</v>
      </c>
      <c r="D155" s="47"/>
      <c r="E155" s="47"/>
      <c r="F155" s="48"/>
      <c r="G155" s="49" t="s">
        <v>62</v>
      </c>
      <c r="H155" s="47"/>
      <c r="I155" s="47"/>
      <c r="J155" s="48"/>
      <c r="K155" s="46"/>
      <c r="L155" s="47"/>
      <c r="M155" s="47"/>
      <c r="N155" s="48"/>
      <c r="O155" s="46" t="s">
        <v>231</v>
      </c>
      <c r="P155" s="47"/>
      <c r="Q155" s="48"/>
      <c r="R155" s="46"/>
      <c r="S155" s="48"/>
      <c r="T155" s="46"/>
      <c r="U155" s="48"/>
      <c r="V155" s="46"/>
      <c r="W155" s="48"/>
      <c r="X155" s="50"/>
      <c r="Y155" s="51"/>
    </row>
    <row r="156" spans="1:25" ht="30" customHeight="1" x14ac:dyDescent="0.25">
      <c r="A156" s="37">
        <v>5</v>
      </c>
      <c r="B156" s="36" t="s">
        <v>164</v>
      </c>
      <c r="C156" s="46" t="s">
        <v>281</v>
      </c>
      <c r="D156" s="47"/>
      <c r="E156" s="47"/>
      <c r="F156" s="48"/>
      <c r="G156" s="46" t="s">
        <v>66</v>
      </c>
      <c r="H156" s="47"/>
      <c r="I156" s="47"/>
      <c r="J156" s="48"/>
      <c r="K156" s="46"/>
      <c r="L156" s="47"/>
      <c r="M156" s="47"/>
      <c r="N156" s="48"/>
      <c r="O156" s="46" t="s">
        <v>229</v>
      </c>
      <c r="P156" s="47"/>
      <c r="Q156" s="48"/>
      <c r="R156" s="46"/>
      <c r="S156" s="48"/>
      <c r="T156" s="46"/>
      <c r="U156" s="48"/>
      <c r="V156" s="46"/>
      <c r="W156" s="48"/>
      <c r="X156" s="50"/>
      <c r="Y156" s="51"/>
    </row>
    <row r="157" spans="1:25" ht="48" customHeight="1" thickBot="1" x14ac:dyDescent="0.3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 spans="1:25" ht="54" customHeight="1" thickTop="1" x14ac:dyDescent="0.25">
      <c r="A158" s="20">
        <f>'Invetario de Tablas'!A25</f>
        <v>22</v>
      </c>
      <c r="B158" s="29" t="s">
        <v>28</v>
      </c>
      <c r="C158" s="54" t="str">
        <f>'Invetario de Tablas'!B25</f>
        <v>evento</v>
      </c>
      <c r="D158" s="55"/>
      <c r="E158" s="55"/>
      <c r="F158" s="56"/>
      <c r="G158" s="57" t="s">
        <v>29</v>
      </c>
      <c r="H158" s="58"/>
      <c r="I158" s="58"/>
      <c r="J158" s="59"/>
      <c r="K158" s="60" t="str">
        <f>'Invetario de Tablas'!C25</f>
        <v>Actividad programada como talleres, seminarios o encuentros relacionados con el sector apícola</v>
      </c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2"/>
      <c r="X158" s="21" t="s">
        <v>32</v>
      </c>
      <c r="Y158" s="22"/>
    </row>
    <row r="159" spans="1:25" ht="60" customHeight="1" x14ac:dyDescent="0.25">
      <c r="A159" s="23" t="s">
        <v>1</v>
      </c>
      <c r="B159" s="24" t="s">
        <v>33</v>
      </c>
      <c r="C159" s="52" t="s">
        <v>34</v>
      </c>
      <c r="D159" s="64"/>
      <c r="E159" s="64"/>
      <c r="F159" s="65"/>
      <c r="G159" s="52" t="s">
        <v>35</v>
      </c>
      <c r="H159" s="64"/>
      <c r="I159" s="64"/>
      <c r="J159" s="65"/>
      <c r="K159" s="52" t="s">
        <v>36</v>
      </c>
      <c r="L159" s="64"/>
      <c r="M159" s="64"/>
      <c r="N159" s="65"/>
      <c r="O159" s="52" t="s">
        <v>37</v>
      </c>
      <c r="P159" s="64"/>
      <c r="Q159" s="65"/>
      <c r="R159" s="52" t="s">
        <v>38</v>
      </c>
      <c r="S159" s="65"/>
      <c r="T159" s="52" t="s">
        <v>39</v>
      </c>
      <c r="U159" s="65"/>
      <c r="V159" s="52" t="s">
        <v>40</v>
      </c>
      <c r="W159" s="65"/>
      <c r="X159" s="52" t="s">
        <v>41</v>
      </c>
      <c r="Y159" s="53"/>
    </row>
    <row r="160" spans="1:25" ht="30" customHeight="1" x14ac:dyDescent="0.3">
      <c r="A160" s="37">
        <v>1</v>
      </c>
      <c r="B160" s="36" t="s">
        <v>282</v>
      </c>
      <c r="C160" s="46" t="s">
        <v>283</v>
      </c>
      <c r="D160" s="47"/>
      <c r="E160" s="47"/>
      <c r="F160" s="48"/>
      <c r="G160" s="67" t="s">
        <v>46</v>
      </c>
      <c r="H160" s="42"/>
      <c r="I160" s="42"/>
      <c r="J160" s="43"/>
      <c r="K160" s="46"/>
      <c r="L160" s="47"/>
      <c r="M160" s="47"/>
      <c r="N160" s="48"/>
      <c r="O160" s="46" t="s">
        <v>229</v>
      </c>
      <c r="P160" s="47"/>
      <c r="Q160" s="48"/>
      <c r="R160" s="66" t="s">
        <v>230</v>
      </c>
      <c r="S160" s="48"/>
      <c r="T160" s="46"/>
      <c r="U160" s="48"/>
      <c r="V160" s="66" t="s">
        <v>230</v>
      </c>
      <c r="W160" s="48"/>
      <c r="X160" s="50"/>
      <c r="Y160" s="51"/>
    </row>
    <row r="161" spans="1:25" ht="30" customHeight="1" x14ac:dyDescent="0.3">
      <c r="A161" s="37">
        <v>2</v>
      </c>
      <c r="B161" s="36" t="s">
        <v>277</v>
      </c>
      <c r="C161" s="46" t="s">
        <v>284</v>
      </c>
      <c r="D161" s="47"/>
      <c r="E161" s="47"/>
      <c r="F161" s="48"/>
      <c r="G161" s="67" t="s">
        <v>54</v>
      </c>
      <c r="H161" s="68"/>
      <c r="I161" s="68"/>
      <c r="J161" s="69"/>
      <c r="K161" s="46"/>
      <c r="L161" s="47"/>
      <c r="M161" s="47"/>
      <c r="N161" s="48"/>
      <c r="O161" s="46" t="s">
        <v>229</v>
      </c>
      <c r="P161" s="47"/>
      <c r="Q161" s="48"/>
      <c r="R161" s="46"/>
      <c r="S161" s="48"/>
      <c r="T161" s="66" t="s">
        <v>230</v>
      </c>
      <c r="U161" s="48"/>
      <c r="V161" s="46"/>
      <c r="W161" s="48"/>
      <c r="X161" s="50"/>
      <c r="Y161" s="51"/>
    </row>
    <row r="162" spans="1:25" ht="30" customHeight="1" x14ac:dyDescent="0.25">
      <c r="A162" s="37">
        <v>3</v>
      </c>
      <c r="B162" s="36" t="s">
        <v>146</v>
      </c>
      <c r="C162" s="46" t="s">
        <v>285</v>
      </c>
      <c r="D162" s="47"/>
      <c r="E162" s="47"/>
      <c r="F162" s="48"/>
      <c r="G162" s="49" t="s">
        <v>310</v>
      </c>
      <c r="H162" s="47"/>
      <c r="I162" s="47"/>
      <c r="J162" s="48"/>
      <c r="K162" s="46">
        <v>50</v>
      </c>
      <c r="L162" s="47"/>
      <c r="M162" s="47"/>
      <c r="N162" s="48"/>
      <c r="O162" s="46" t="s">
        <v>229</v>
      </c>
      <c r="P162" s="47"/>
      <c r="Q162" s="48"/>
      <c r="R162" s="46"/>
      <c r="S162" s="48"/>
      <c r="T162" s="46"/>
      <c r="U162" s="48"/>
      <c r="V162" s="46"/>
      <c r="W162" s="48"/>
      <c r="X162" s="50"/>
      <c r="Y162" s="51"/>
    </row>
    <row r="163" spans="1:25" ht="30" customHeight="1" x14ac:dyDescent="0.25">
      <c r="A163" s="37">
        <v>4</v>
      </c>
      <c r="B163" s="36" t="s">
        <v>164</v>
      </c>
      <c r="C163" s="46" t="s">
        <v>286</v>
      </c>
      <c r="D163" s="47"/>
      <c r="E163" s="47"/>
      <c r="F163" s="48"/>
      <c r="G163" s="46" t="s">
        <v>66</v>
      </c>
      <c r="H163" s="47"/>
      <c r="I163" s="47"/>
      <c r="J163" s="48"/>
      <c r="K163" s="46"/>
      <c r="L163" s="47"/>
      <c r="M163" s="47"/>
      <c r="N163" s="48"/>
      <c r="O163" s="46" t="s">
        <v>229</v>
      </c>
      <c r="P163" s="47"/>
      <c r="Q163" s="48"/>
      <c r="R163" s="46"/>
      <c r="S163" s="48"/>
      <c r="T163" s="46"/>
      <c r="U163" s="48"/>
      <c r="V163" s="46"/>
      <c r="W163" s="48"/>
      <c r="X163" s="50"/>
      <c r="Y163" s="51"/>
    </row>
    <row r="164" spans="1:25" ht="30" customHeight="1" x14ac:dyDescent="0.25">
      <c r="A164" s="37">
        <v>5</v>
      </c>
      <c r="B164" s="36" t="s">
        <v>287</v>
      </c>
      <c r="C164" s="46" t="s">
        <v>288</v>
      </c>
      <c r="D164" s="47"/>
      <c r="E164" s="47"/>
      <c r="F164" s="48"/>
      <c r="G164" s="49" t="s">
        <v>310</v>
      </c>
      <c r="H164" s="47"/>
      <c r="I164" s="47"/>
      <c r="J164" s="48"/>
      <c r="K164" s="46">
        <v>50</v>
      </c>
      <c r="L164" s="47"/>
      <c r="M164" s="47"/>
      <c r="N164" s="48"/>
      <c r="O164" s="46" t="s">
        <v>229</v>
      </c>
      <c r="P164" s="47"/>
      <c r="Q164" s="48"/>
      <c r="R164" s="46"/>
      <c r="S164" s="48"/>
      <c r="T164" s="46"/>
      <c r="U164" s="48"/>
      <c r="V164" s="46"/>
      <c r="W164" s="48"/>
      <c r="X164" s="50"/>
      <c r="Y164" s="51"/>
    </row>
    <row r="165" spans="1:25" ht="48" customHeight="1" thickBot="1" x14ac:dyDescent="0.3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 spans="1:25" ht="54" customHeight="1" thickTop="1" x14ac:dyDescent="0.25">
      <c r="A166" s="20">
        <f>'Invetario de Tablas'!A26</f>
        <v>23</v>
      </c>
      <c r="B166" s="29" t="s">
        <v>28</v>
      </c>
      <c r="C166" s="54" t="str">
        <f>'Invetario de Tablas'!B26</f>
        <v>comunidad</v>
      </c>
      <c r="D166" s="55"/>
      <c r="E166" s="55"/>
      <c r="F166" s="56"/>
      <c r="G166" s="57" t="s">
        <v>29</v>
      </c>
      <c r="H166" s="58"/>
      <c r="I166" s="58"/>
      <c r="J166" s="59"/>
      <c r="K166" s="60" t="str">
        <f>'Invetario de Tablas'!C26</f>
        <v>Grupo de apicultores que se organizan dentro de la plataforma para compartir conocimiento, experiencias o apoyo</v>
      </c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2"/>
      <c r="X166" s="21" t="s">
        <v>32</v>
      </c>
      <c r="Y166" s="22"/>
    </row>
    <row r="167" spans="1:25" ht="60" customHeight="1" x14ac:dyDescent="0.25">
      <c r="A167" s="23" t="s">
        <v>1</v>
      </c>
      <c r="B167" s="24" t="s">
        <v>33</v>
      </c>
      <c r="C167" s="63" t="s">
        <v>34</v>
      </c>
      <c r="D167" s="64"/>
      <c r="E167" s="64"/>
      <c r="F167" s="65"/>
      <c r="G167" s="52" t="s">
        <v>35</v>
      </c>
      <c r="H167" s="64"/>
      <c r="I167" s="64"/>
      <c r="J167" s="65"/>
      <c r="K167" s="52" t="s">
        <v>36</v>
      </c>
      <c r="L167" s="64"/>
      <c r="M167" s="64"/>
      <c r="N167" s="65"/>
      <c r="O167" s="52" t="s">
        <v>37</v>
      </c>
      <c r="P167" s="64"/>
      <c r="Q167" s="65"/>
      <c r="R167" s="52" t="s">
        <v>38</v>
      </c>
      <c r="S167" s="65"/>
      <c r="T167" s="52" t="s">
        <v>39</v>
      </c>
      <c r="U167" s="65"/>
      <c r="V167" s="52" t="s">
        <v>40</v>
      </c>
      <c r="W167" s="65"/>
      <c r="X167" s="52" t="s">
        <v>41</v>
      </c>
      <c r="Y167" s="53"/>
    </row>
    <row r="168" spans="1:25" ht="30" customHeight="1" x14ac:dyDescent="0.3">
      <c r="A168" s="37">
        <v>1</v>
      </c>
      <c r="B168" s="36" t="s">
        <v>289</v>
      </c>
      <c r="C168" s="46" t="s">
        <v>290</v>
      </c>
      <c r="D168" s="47"/>
      <c r="E168" s="47"/>
      <c r="F168" s="48"/>
      <c r="G168" s="67" t="s">
        <v>46</v>
      </c>
      <c r="H168" s="42"/>
      <c r="I168" s="42"/>
      <c r="J168" s="43"/>
      <c r="K168" s="46"/>
      <c r="L168" s="47"/>
      <c r="M168" s="47"/>
      <c r="N168" s="48"/>
      <c r="O168" s="46" t="s">
        <v>229</v>
      </c>
      <c r="P168" s="47"/>
      <c r="Q168" s="48"/>
      <c r="R168" s="66" t="s">
        <v>230</v>
      </c>
      <c r="S168" s="48"/>
      <c r="T168" s="46"/>
      <c r="U168" s="48"/>
      <c r="V168" s="66" t="s">
        <v>230</v>
      </c>
      <c r="W168" s="48"/>
      <c r="X168" s="50"/>
      <c r="Y168" s="51"/>
    </row>
    <row r="169" spans="1:25" ht="30" customHeight="1" x14ac:dyDescent="0.25">
      <c r="A169" s="37">
        <v>2</v>
      </c>
      <c r="B169" s="36" t="s">
        <v>146</v>
      </c>
      <c r="C169" s="46" t="s">
        <v>291</v>
      </c>
      <c r="D169" s="47"/>
      <c r="E169" s="47"/>
      <c r="F169" s="48"/>
      <c r="G169" s="49" t="s">
        <v>310</v>
      </c>
      <c r="H169" s="47"/>
      <c r="I169" s="47"/>
      <c r="J169" s="48"/>
      <c r="K169" s="46">
        <v>50</v>
      </c>
      <c r="L169" s="47"/>
      <c r="M169" s="47"/>
      <c r="N169" s="48"/>
      <c r="O169" s="46" t="s">
        <v>229</v>
      </c>
      <c r="P169" s="47"/>
      <c r="Q169" s="48"/>
      <c r="R169" s="46"/>
      <c r="S169" s="48"/>
      <c r="T169" s="46"/>
      <c r="U169" s="48"/>
      <c r="V169" s="46"/>
      <c r="W169" s="48"/>
      <c r="X169" s="50"/>
      <c r="Y169" s="51"/>
    </row>
    <row r="170" spans="1:25" ht="30" customHeight="1" x14ac:dyDescent="0.25">
      <c r="A170" s="37">
        <v>3</v>
      </c>
      <c r="B170" s="36" t="s">
        <v>147</v>
      </c>
      <c r="C170" s="46" t="s">
        <v>292</v>
      </c>
      <c r="D170" s="47"/>
      <c r="E170" s="47"/>
      <c r="F170" s="48"/>
      <c r="G170" s="49" t="s">
        <v>62</v>
      </c>
      <c r="H170" s="47"/>
      <c r="I170" s="47"/>
      <c r="J170" s="48"/>
      <c r="K170" s="46"/>
      <c r="L170" s="47"/>
      <c r="M170" s="47"/>
      <c r="N170" s="48"/>
      <c r="O170" s="46" t="s">
        <v>231</v>
      </c>
      <c r="P170" s="47"/>
      <c r="Q170" s="48"/>
      <c r="R170" s="46"/>
      <c r="S170" s="48"/>
      <c r="T170" s="46"/>
      <c r="U170" s="48"/>
      <c r="V170" s="46"/>
      <c r="W170" s="48"/>
      <c r="X170" s="50"/>
      <c r="Y170" s="51"/>
    </row>
    <row r="171" spans="1:25" ht="30" customHeight="1" x14ac:dyDescent="0.25">
      <c r="A171" s="37">
        <v>4</v>
      </c>
      <c r="B171" s="36" t="s">
        <v>218</v>
      </c>
      <c r="C171" s="46" t="s">
        <v>219</v>
      </c>
      <c r="D171" s="47"/>
      <c r="E171" s="47"/>
      <c r="F171" s="48"/>
      <c r="G171" s="46" t="s">
        <v>66</v>
      </c>
      <c r="H171" s="47"/>
      <c r="I171" s="47"/>
      <c r="J171" s="48"/>
      <c r="K171" s="46"/>
      <c r="L171" s="47"/>
      <c r="M171" s="47"/>
      <c r="N171" s="48"/>
      <c r="O171" s="46" t="s">
        <v>229</v>
      </c>
      <c r="P171" s="47"/>
      <c r="Q171" s="48"/>
      <c r="R171" s="46"/>
      <c r="S171" s="48"/>
      <c r="T171" s="46"/>
      <c r="U171" s="48"/>
      <c r="V171" s="46"/>
      <c r="W171" s="48"/>
      <c r="X171" s="50"/>
      <c r="Y171" s="51"/>
    </row>
    <row r="172" spans="1:25" ht="48" customHeight="1" thickBot="1" x14ac:dyDescent="0.3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 spans="1:25" ht="54" customHeight="1" thickTop="1" x14ac:dyDescent="0.25">
      <c r="A173" s="20">
        <f>'Invetario de Tablas'!A27</f>
        <v>24</v>
      </c>
      <c r="B173" s="29" t="s">
        <v>28</v>
      </c>
      <c r="C173" s="54" t="str">
        <f>'Invetario de Tablas'!B27</f>
        <v>lote</v>
      </c>
      <c r="D173" s="55"/>
      <c r="E173" s="55"/>
      <c r="F173" s="56"/>
      <c r="G173" s="57" t="s">
        <v>29</v>
      </c>
      <c r="H173" s="58"/>
      <c r="I173" s="58"/>
      <c r="J173" s="59"/>
      <c r="K173" s="60" t="str">
        <f>'Invetario de Tablas'!C27</f>
        <v>Conjunto específico de producto obtenido a partir de una cosecha</v>
      </c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2"/>
      <c r="X173" s="21" t="s">
        <v>32</v>
      </c>
      <c r="Y173" s="22"/>
    </row>
    <row r="174" spans="1:25" ht="60" customHeight="1" x14ac:dyDescent="0.25">
      <c r="A174" s="23" t="s">
        <v>1</v>
      </c>
      <c r="B174" s="24" t="s">
        <v>33</v>
      </c>
      <c r="C174" s="63" t="s">
        <v>34</v>
      </c>
      <c r="D174" s="64"/>
      <c r="E174" s="64"/>
      <c r="F174" s="65"/>
      <c r="G174" s="52" t="s">
        <v>35</v>
      </c>
      <c r="H174" s="64"/>
      <c r="I174" s="64"/>
      <c r="J174" s="65"/>
      <c r="K174" s="52" t="s">
        <v>36</v>
      </c>
      <c r="L174" s="64"/>
      <c r="M174" s="64"/>
      <c r="N174" s="65"/>
      <c r="O174" s="52" t="s">
        <v>37</v>
      </c>
      <c r="P174" s="64"/>
      <c r="Q174" s="65"/>
      <c r="R174" s="52" t="s">
        <v>38</v>
      </c>
      <c r="S174" s="65"/>
      <c r="T174" s="52" t="s">
        <v>39</v>
      </c>
      <c r="U174" s="65"/>
      <c r="V174" s="52" t="s">
        <v>40</v>
      </c>
      <c r="W174" s="65"/>
      <c r="X174" s="52" t="s">
        <v>41</v>
      </c>
      <c r="Y174" s="53"/>
    </row>
    <row r="175" spans="1:25" ht="30" customHeight="1" x14ac:dyDescent="0.3">
      <c r="A175" s="37">
        <v>1</v>
      </c>
      <c r="B175" s="36" t="s">
        <v>174</v>
      </c>
      <c r="C175" s="46" t="s">
        <v>293</v>
      </c>
      <c r="D175" s="47"/>
      <c r="E175" s="47"/>
      <c r="F175" s="48"/>
      <c r="G175" s="67" t="s">
        <v>46</v>
      </c>
      <c r="H175" s="42"/>
      <c r="I175" s="42"/>
      <c r="J175" s="43"/>
      <c r="K175" s="46"/>
      <c r="L175" s="47"/>
      <c r="M175" s="47"/>
      <c r="N175" s="48"/>
      <c r="O175" s="46" t="s">
        <v>229</v>
      </c>
      <c r="P175" s="47"/>
      <c r="Q175" s="48"/>
      <c r="R175" s="66" t="s">
        <v>230</v>
      </c>
      <c r="S175" s="48"/>
      <c r="T175" s="46"/>
      <c r="U175" s="48"/>
      <c r="V175" s="66" t="s">
        <v>230</v>
      </c>
      <c r="W175" s="48"/>
      <c r="X175" s="50"/>
      <c r="Y175" s="51"/>
    </row>
    <row r="176" spans="1:25" ht="30" customHeight="1" x14ac:dyDescent="0.3">
      <c r="A176" s="37">
        <v>2</v>
      </c>
      <c r="B176" s="36" t="s">
        <v>163</v>
      </c>
      <c r="C176" s="46" t="s">
        <v>294</v>
      </c>
      <c r="D176" s="47"/>
      <c r="E176" s="47"/>
      <c r="F176" s="48"/>
      <c r="G176" s="67" t="s">
        <v>54</v>
      </c>
      <c r="H176" s="68"/>
      <c r="I176" s="68"/>
      <c r="J176" s="69"/>
      <c r="K176" s="46"/>
      <c r="L176" s="47"/>
      <c r="M176" s="47"/>
      <c r="N176" s="48"/>
      <c r="O176" s="46" t="s">
        <v>229</v>
      </c>
      <c r="P176" s="47"/>
      <c r="Q176" s="48"/>
      <c r="R176" s="46"/>
      <c r="S176" s="48"/>
      <c r="T176" s="66" t="s">
        <v>230</v>
      </c>
      <c r="U176" s="48"/>
      <c r="V176" s="46"/>
      <c r="W176" s="48"/>
      <c r="X176" s="50"/>
      <c r="Y176" s="51"/>
    </row>
    <row r="177" spans="1:25" ht="30" customHeight="1" x14ac:dyDescent="0.25">
      <c r="A177" s="37">
        <v>3</v>
      </c>
      <c r="B177" s="36" t="s">
        <v>176</v>
      </c>
      <c r="C177" s="46" t="s">
        <v>295</v>
      </c>
      <c r="D177" s="47"/>
      <c r="E177" s="47"/>
      <c r="F177" s="48"/>
      <c r="G177" s="67" t="s">
        <v>54</v>
      </c>
      <c r="H177" s="68"/>
      <c r="I177" s="68"/>
      <c r="J177" s="69"/>
      <c r="K177" s="46"/>
      <c r="L177" s="47"/>
      <c r="M177" s="47"/>
      <c r="N177" s="48"/>
      <c r="O177" s="46" t="s">
        <v>296</v>
      </c>
      <c r="P177" s="47"/>
      <c r="Q177" s="48"/>
      <c r="R177" s="46"/>
      <c r="S177" s="48"/>
      <c r="T177" s="46"/>
      <c r="U177" s="48"/>
      <c r="V177" s="46"/>
      <c r="W177" s="48"/>
      <c r="X177" s="50"/>
      <c r="Y177" s="51"/>
    </row>
    <row r="178" spans="1:25" ht="30" customHeight="1" x14ac:dyDescent="0.25">
      <c r="A178" s="37">
        <v>4</v>
      </c>
      <c r="B178" s="36" t="s">
        <v>297</v>
      </c>
      <c r="C178" s="46" t="s">
        <v>298</v>
      </c>
      <c r="D178" s="47"/>
      <c r="E178" s="47"/>
      <c r="F178" s="48"/>
      <c r="G178" s="46" t="s">
        <v>66</v>
      </c>
      <c r="H178" s="47"/>
      <c r="I178" s="47"/>
      <c r="J178" s="48"/>
      <c r="K178" s="46"/>
      <c r="L178" s="47"/>
      <c r="M178" s="47"/>
      <c r="N178" s="48"/>
      <c r="O178" s="46" t="s">
        <v>229</v>
      </c>
      <c r="P178" s="47"/>
      <c r="Q178" s="48"/>
      <c r="R178" s="46"/>
      <c r="S178" s="48"/>
      <c r="T178" s="46"/>
      <c r="U178" s="48"/>
      <c r="V178" s="46"/>
      <c r="W178" s="48"/>
      <c r="X178" s="50"/>
      <c r="Y178" s="51"/>
    </row>
    <row r="179" spans="1:25" ht="48" customHeight="1" thickBot="1" x14ac:dyDescent="0.3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 spans="1:25" ht="54" customHeight="1" thickTop="1" x14ac:dyDescent="0.25">
      <c r="A180" s="20">
        <f>'Invetario de Tablas'!A28</f>
        <v>25</v>
      </c>
      <c r="B180" s="29" t="s">
        <v>28</v>
      </c>
      <c r="C180" s="54" t="str">
        <f>'Invetario de Tablas'!B28</f>
        <v>apicultor_intercambio</v>
      </c>
      <c r="D180" s="55"/>
      <c r="E180" s="55"/>
      <c r="F180" s="56"/>
      <c r="G180" s="57" t="s">
        <v>29</v>
      </c>
      <c r="H180" s="58"/>
      <c r="I180" s="58"/>
      <c r="J180" s="59"/>
      <c r="K180" s="60" t="str">
        <f>'Invetario de Tablas'!C28</f>
        <v>Tabla formada por la relacion M:N entre apicultor y intercambio</v>
      </c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2"/>
      <c r="X180" s="21" t="s">
        <v>32</v>
      </c>
      <c r="Y180" s="22"/>
    </row>
    <row r="181" spans="1:25" ht="60" customHeight="1" x14ac:dyDescent="0.25">
      <c r="A181" s="23" t="s">
        <v>1</v>
      </c>
      <c r="B181" s="24" t="s">
        <v>33</v>
      </c>
      <c r="C181" s="63" t="s">
        <v>34</v>
      </c>
      <c r="D181" s="64"/>
      <c r="E181" s="64"/>
      <c r="F181" s="65"/>
      <c r="G181" s="52" t="s">
        <v>35</v>
      </c>
      <c r="H181" s="64"/>
      <c r="I181" s="64"/>
      <c r="J181" s="65"/>
      <c r="K181" s="52" t="s">
        <v>36</v>
      </c>
      <c r="L181" s="64"/>
      <c r="M181" s="64"/>
      <c r="N181" s="65"/>
      <c r="O181" s="52" t="s">
        <v>37</v>
      </c>
      <c r="P181" s="64"/>
      <c r="Q181" s="65"/>
      <c r="R181" s="52" t="s">
        <v>38</v>
      </c>
      <c r="S181" s="65"/>
      <c r="T181" s="52" t="s">
        <v>39</v>
      </c>
      <c r="U181" s="65"/>
      <c r="V181" s="52" t="s">
        <v>40</v>
      </c>
      <c r="W181" s="65"/>
      <c r="X181" s="52" t="s">
        <v>41</v>
      </c>
      <c r="Y181" s="53"/>
    </row>
    <row r="182" spans="1:25" ht="30" customHeight="1" x14ac:dyDescent="0.3">
      <c r="A182" s="37">
        <v>1</v>
      </c>
      <c r="B182" s="36" t="s">
        <v>145</v>
      </c>
      <c r="C182" s="46" t="s">
        <v>299</v>
      </c>
      <c r="D182" s="47"/>
      <c r="E182" s="47"/>
      <c r="F182" s="48"/>
      <c r="G182" s="46" t="s">
        <v>54</v>
      </c>
      <c r="H182" s="47"/>
      <c r="I182" s="47"/>
      <c r="J182" s="48"/>
      <c r="K182" s="46"/>
      <c r="L182" s="47"/>
      <c r="M182" s="47"/>
      <c r="N182" s="48"/>
      <c r="O182" s="46" t="s">
        <v>229</v>
      </c>
      <c r="P182" s="47"/>
      <c r="Q182" s="48"/>
      <c r="R182" s="66" t="s">
        <v>230</v>
      </c>
      <c r="S182" s="48"/>
      <c r="T182" s="66" t="s">
        <v>230</v>
      </c>
      <c r="U182" s="48"/>
      <c r="V182" s="46"/>
      <c r="W182" s="48"/>
      <c r="X182" s="50"/>
      <c r="Y182" s="51"/>
    </row>
    <row r="183" spans="1:25" ht="30" customHeight="1" x14ac:dyDescent="0.3">
      <c r="A183" s="37">
        <v>2</v>
      </c>
      <c r="B183" s="36" t="s">
        <v>244</v>
      </c>
      <c r="C183" s="46" t="s">
        <v>316</v>
      </c>
      <c r="D183" s="47"/>
      <c r="E183" s="47"/>
      <c r="F183" s="48"/>
      <c r="G183" s="46" t="s">
        <v>54</v>
      </c>
      <c r="H183" s="47"/>
      <c r="I183" s="47"/>
      <c r="J183" s="48"/>
      <c r="K183" s="46"/>
      <c r="L183" s="47"/>
      <c r="M183" s="47"/>
      <c r="N183" s="48"/>
      <c r="O183" s="46" t="s">
        <v>229</v>
      </c>
      <c r="P183" s="47"/>
      <c r="Q183" s="48"/>
      <c r="R183" s="66" t="s">
        <v>230</v>
      </c>
      <c r="S183" s="48"/>
      <c r="T183" s="66" t="s">
        <v>230</v>
      </c>
      <c r="U183" s="48"/>
      <c r="V183" s="46"/>
      <c r="W183" s="48"/>
      <c r="X183" s="50"/>
      <c r="Y183" s="51"/>
    </row>
    <row r="184" spans="1:25" ht="48" customHeight="1" thickBot="1" x14ac:dyDescent="0.3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 spans="1:25" ht="54" customHeight="1" thickTop="1" x14ac:dyDescent="0.25">
      <c r="A185" s="20">
        <f>'Invetario de Tablas'!A29</f>
        <v>26</v>
      </c>
      <c r="B185" s="29" t="s">
        <v>28</v>
      </c>
      <c r="C185" s="54" t="str">
        <f>'Invetario de Tablas'!B29</f>
        <v>apicultor_comunidad</v>
      </c>
      <c r="D185" s="55"/>
      <c r="E185" s="55"/>
      <c r="F185" s="56"/>
      <c r="G185" s="57" t="s">
        <v>29</v>
      </c>
      <c r="H185" s="58"/>
      <c r="I185" s="58"/>
      <c r="J185" s="59"/>
      <c r="K185" s="60" t="str">
        <f>'Invetario de Tablas'!C29</f>
        <v>Tabla intermedia formada por la cardinalidad M:N entre apicultor y comunidad</v>
      </c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2"/>
      <c r="X185" s="21" t="s">
        <v>32</v>
      </c>
      <c r="Y185" s="22"/>
    </row>
    <row r="186" spans="1:25" ht="60" customHeight="1" x14ac:dyDescent="0.25">
      <c r="A186" s="23" t="s">
        <v>1</v>
      </c>
      <c r="B186" s="24" t="s">
        <v>33</v>
      </c>
      <c r="C186" s="63" t="s">
        <v>34</v>
      </c>
      <c r="D186" s="64"/>
      <c r="E186" s="64"/>
      <c r="F186" s="65"/>
      <c r="G186" s="52" t="s">
        <v>35</v>
      </c>
      <c r="H186" s="64"/>
      <c r="I186" s="64"/>
      <c r="J186" s="65"/>
      <c r="K186" s="52" t="s">
        <v>36</v>
      </c>
      <c r="L186" s="64"/>
      <c r="M186" s="64"/>
      <c r="N186" s="65"/>
      <c r="O186" s="52" t="s">
        <v>37</v>
      </c>
      <c r="P186" s="64"/>
      <c r="Q186" s="65"/>
      <c r="R186" s="52" t="s">
        <v>38</v>
      </c>
      <c r="S186" s="65"/>
      <c r="T186" s="52" t="s">
        <v>39</v>
      </c>
      <c r="U186" s="65"/>
      <c r="V186" s="52" t="s">
        <v>40</v>
      </c>
      <c r="W186" s="65"/>
      <c r="X186" s="52" t="s">
        <v>41</v>
      </c>
      <c r="Y186" s="53"/>
    </row>
    <row r="187" spans="1:25" ht="30" customHeight="1" x14ac:dyDescent="0.3">
      <c r="A187" s="37">
        <v>1</v>
      </c>
      <c r="B187" s="36" t="s">
        <v>145</v>
      </c>
      <c r="C187" s="46" t="s">
        <v>315</v>
      </c>
      <c r="D187" s="47"/>
      <c r="E187" s="47"/>
      <c r="F187" s="48"/>
      <c r="G187" s="46" t="s">
        <v>54</v>
      </c>
      <c r="H187" s="47"/>
      <c r="I187" s="47"/>
      <c r="J187" s="48"/>
      <c r="K187" s="46"/>
      <c r="L187" s="47"/>
      <c r="M187" s="47"/>
      <c r="N187" s="48"/>
      <c r="O187" s="46" t="s">
        <v>229</v>
      </c>
      <c r="P187" s="47"/>
      <c r="Q187" s="48"/>
      <c r="R187" s="66" t="s">
        <v>230</v>
      </c>
      <c r="S187" s="48"/>
      <c r="T187" s="66" t="s">
        <v>230</v>
      </c>
      <c r="U187" s="48"/>
      <c r="V187" s="46"/>
      <c r="W187" s="48"/>
      <c r="X187" s="50"/>
      <c r="Y187" s="51"/>
    </row>
    <row r="188" spans="1:25" ht="30" customHeight="1" x14ac:dyDescent="0.3">
      <c r="A188" s="37">
        <v>2</v>
      </c>
      <c r="B188" s="36" t="s">
        <v>289</v>
      </c>
      <c r="C188" s="46" t="s">
        <v>301</v>
      </c>
      <c r="D188" s="47"/>
      <c r="E188" s="47"/>
      <c r="F188" s="48"/>
      <c r="G188" s="46" t="s">
        <v>54</v>
      </c>
      <c r="H188" s="47"/>
      <c r="I188" s="47"/>
      <c r="J188" s="48"/>
      <c r="K188" s="46"/>
      <c r="L188" s="47"/>
      <c r="M188" s="47"/>
      <c r="N188" s="48"/>
      <c r="O188" s="46" t="s">
        <v>229</v>
      </c>
      <c r="P188" s="47"/>
      <c r="Q188" s="48"/>
      <c r="R188" s="66" t="s">
        <v>230</v>
      </c>
      <c r="S188" s="48"/>
      <c r="T188" s="66" t="s">
        <v>230</v>
      </c>
      <c r="U188" s="48"/>
      <c r="V188" s="46"/>
      <c r="W188" s="48"/>
      <c r="X188" s="50"/>
      <c r="Y188" s="51"/>
    </row>
    <row r="189" spans="1:25" ht="48" customHeight="1" thickBot="1" x14ac:dyDescent="0.3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 spans="1:25" ht="54" customHeight="1" thickTop="1" x14ac:dyDescent="0.25">
      <c r="A190" s="20">
        <f>'Invetario de Tablas'!A30</f>
        <v>27</v>
      </c>
      <c r="B190" s="29" t="s">
        <v>28</v>
      </c>
      <c r="C190" s="54" t="str">
        <f>'Invetario de Tablas'!B30</f>
        <v>evento_apicultor</v>
      </c>
      <c r="D190" s="55"/>
      <c r="E190" s="55"/>
      <c r="F190" s="56"/>
      <c r="G190" s="57" t="s">
        <v>29</v>
      </c>
      <c r="H190" s="58"/>
      <c r="I190" s="58"/>
      <c r="J190" s="59"/>
      <c r="K190" s="60" t="str">
        <f>'Invetario de Tablas'!C30</f>
        <v>Tabla intermedia formada por la cardinalidad M:N entre evento y apicultor</v>
      </c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2"/>
      <c r="X190" s="21" t="s">
        <v>32</v>
      </c>
      <c r="Y190" s="22"/>
    </row>
    <row r="191" spans="1:25" ht="60" customHeight="1" x14ac:dyDescent="0.25">
      <c r="A191" s="23" t="s">
        <v>1</v>
      </c>
      <c r="B191" s="24" t="s">
        <v>33</v>
      </c>
      <c r="C191" s="63" t="s">
        <v>34</v>
      </c>
      <c r="D191" s="64"/>
      <c r="E191" s="64"/>
      <c r="F191" s="65"/>
      <c r="G191" s="52" t="s">
        <v>35</v>
      </c>
      <c r="H191" s="64"/>
      <c r="I191" s="64"/>
      <c r="J191" s="65"/>
      <c r="K191" s="52" t="s">
        <v>36</v>
      </c>
      <c r="L191" s="64"/>
      <c r="M191" s="64"/>
      <c r="N191" s="65"/>
      <c r="O191" s="52" t="s">
        <v>37</v>
      </c>
      <c r="P191" s="64"/>
      <c r="Q191" s="65"/>
      <c r="R191" s="52" t="s">
        <v>38</v>
      </c>
      <c r="S191" s="65"/>
      <c r="T191" s="52" t="s">
        <v>39</v>
      </c>
      <c r="U191" s="65"/>
      <c r="V191" s="52" t="s">
        <v>40</v>
      </c>
      <c r="W191" s="65"/>
      <c r="X191" s="52" t="s">
        <v>41</v>
      </c>
      <c r="Y191" s="53"/>
    </row>
    <row r="192" spans="1:25" ht="30" customHeight="1" x14ac:dyDescent="0.25">
      <c r="A192" s="37">
        <v>1</v>
      </c>
      <c r="B192" s="36" t="s">
        <v>282</v>
      </c>
      <c r="C192" s="46" t="s">
        <v>302</v>
      </c>
      <c r="D192" s="47"/>
      <c r="E192" s="47"/>
      <c r="F192" s="48"/>
      <c r="G192" s="46" t="s">
        <v>54</v>
      </c>
      <c r="H192" s="47"/>
      <c r="I192" s="47"/>
      <c r="J192" s="48"/>
      <c r="K192" s="46"/>
      <c r="L192" s="47"/>
      <c r="M192" s="47"/>
      <c r="N192" s="48"/>
      <c r="O192" s="46" t="s">
        <v>229</v>
      </c>
      <c r="P192" s="47"/>
      <c r="Q192" s="48"/>
      <c r="R192" s="49" t="s">
        <v>230</v>
      </c>
      <c r="S192" s="48"/>
      <c r="T192" s="49" t="s">
        <v>230</v>
      </c>
      <c r="U192" s="48"/>
      <c r="V192" s="46"/>
      <c r="W192" s="48"/>
      <c r="X192" s="50"/>
      <c r="Y192" s="51"/>
    </row>
    <row r="193" spans="1:25" ht="30" customHeight="1" x14ac:dyDescent="0.25">
      <c r="A193" s="37">
        <v>2</v>
      </c>
      <c r="B193" s="36" t="s">
        <v>145</v>
      </c>
      <c r="C193" s="46" t="s">
        <v>303</v>
      </c>
      <c r="D193" s="47"/>
      <c r="E193" s="47"/>
      <c r="F193" s="48"/>
      <c r="G193" s="46" t="s">
        <v>54</v>
      </c>
      <c r="H193" s="47"/>
      <c r="I193" s="47"/>
      <c r="J193" s="48"/>
      <c r="K193" s="46"/>
      <c r="L193" s="47"/>
      <c r="M193" s="47"/>
      <c r="N193" s="48"/>
      <c r="O193" s="46" t="s">
        <v>229</v>
      </c>
      <c r="P193" s="47"/>
      <c r="Q193" s="48"/>
      <c r="R193" s="49" t="s">
        <v>230</v>
      </c>
      <c r="S193" s="48"/>
      <c r="T193" s="49" t="s">
        <v>230</v>
      </c>
      <c r="U193" s="48"/>
      <c r="V193" s="46"/>
      <c r="W193" s="48"/>
      <c r="X193" s="50"/>
      <c r="Y193" s="51"/>
    </row>
    <row r="194" spans="1:25" ht="48" customHeight="1" thickBot="1" x14ac:dyDescent="0.3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 spans="1:25" ht="54" customHeight="1" thickTop="1" x14ac:dyDescent="0.25">
      <c r="A195" s="20">
        <f>'Invetario de Tablas'!A31</f>
        <v>28</v>
      </c>
      <c r="B195" s="29" t="s">
        <v>28</v>
      </c>
      <c r="C195" s="54" t="str">
        <f>'Invetario de Tablas'!B31</f>
        <v>cooperativa_financiera</v>
      </c>
      <c r="D195" s="55"/>
      <c r="E195" s="55"/>
      <c r="F195" s="56"/>
      <c r="G195" s="57" t="s">
        <v>29</v>
      </c>
      <c r="H195" s="58"/>
      <c r="I195" s="58"/>
      <c r="J195" s="59"/>
      <c r="K195" s="60" t="str">
        <f>'Invetario de Tablas'!C31</f>
        <v>Tabla intermedia formada por la cardinalidad M:N entre cooperativa y entidad financiera</v>
      </c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2"/>
      <c r="X195" s="21" t="s">
        <v>32</v>
      </c>
      <c r="Y195" s="22"/>
    </row>
    <row r="196" spans="1:25" ht="60" customHeight="1" x14ac:dyDescent="0.25">
      <c r="A196" s="23" t="s">
        <v>1</v>
      </c>
      <c r="B196" s="24" t="s">
        <v>33</v>
      </c>
      <c r="C196" s="63" t="s">
        <v>34</v>
      </c>
      <c r="D196" s="64"/>
      <c r="E196" s="64"/>
      <c r="F196" s="65"/>
      <c r="G196" s="52" t="s">
        <v>35</v>
      </c>
      <c r="H196" s="64"/>
      <c r="I196" s="64"/>
      <c r="J196" s="65"/>
      <c r="K196" s="52" t="s">
        <v>36</v>
      </c>
      <c r="L196" s="64"/>
      <c r="M196" s="64"/>
      <c r="N196" s="65"/>
      <c r="O196" s="52" t="s">
        <v>37</v>
      </c>
      <c r="P196" s="64"/>
      <c r="Q196" s="65"/>
      <c r="R196" s="52" t="s">
        <v>38</v>
      </c>
      <c r="S196" s="65"/>
      <c r="T196" s="52" t="s">
        <v>39</v>
      </c>
      <c r="U196" s="65"/>
      <c r="V196" s="52" t="s">
        <v>40</v>
      </c>
      <c r="W196" s="65"/>
      <c r="X196" s="52" t="s">
        <v>41</v>
      </c>
      <c r="Y196" s="53"/>
    </row>
    <row r="197" spans="1:25" ht="30" customHeight="1" x14ac:dyDescent="0.25">
      <c r="A197" s="37">
        <v>1</v>
      </c>
      <c r="B197" s="36" t="s">
        <v>212</v>
      </c>
      <c r="C197" s="46" t="s">
        <v>304</v>
      </c>
      <c r="D197" s="47"/>
      <c r="E197" s="47"/>
      <c r="F197" s="48"/>
      <c r="G197" s="46" t="s">
        <v>54</v>
      </c>
      <c r="H197" s="47"/>
      <c r="I197" s="47"/>
      <c r="J197" s="48"/>
      <c r="K197" s="46"/>
      <c r="L197" s="47"/>
      <c r="M197" s="47"/>
      <c r="N197" s="48"/>
      <c r="O197" s="46" t="s">
        <v>229</v>
      </c>
      <c r="P197" s="47"/>
      <c r="Q197" s="48"/>
      <c r="R197" s="49" t="s">
        <v>230</v>
      </c>
      <c r="S197" s="48"/>
      <c r="T197" s="49" t="s">
        <v>230</v>
      </c>
      <c r="U197" s="48"/>
      <c r="V197" s="46"/>
      <c r="W197" s="48"/>
      <c r="X197" s="50"/>
      <c r="Y197" s="51"/>
    </row>
    <row r="198" spans="1:25" ht="30" customHeight="1" x14ac:dyDescent="0.25">
      <c r="A198" s="37">
        <v>2</v>
      </c>
      <c r="B198" s="36" t="s">
        <v>201</v>
      </c>
      <c r="C198" s="46" t="s">
        <v>305</v>
      </c>
      <c r="D198" s="47"/>
      <c r="E198" s="47"/>
      <c r="F198" s="48"/>
      <c r="G198" s="46" t="s">
        <v>54</v>
      </c>
      <c r="H198" s="47"/>
      <c r="I198" s="47"/>
      <c r="J198" s="48"/>
      <c r="K198" s="46"/>
      <c r="L198" s="47"/>
      <c r="M198" s="47"/>
      <c r="N198" s="48"/>
      <c r="O198" s="46" t="s">
        <v>229</v>
      </c>
      <c r="P198" s="47"/>
      <c r="Q198" s="48"/>
      <c r="R198" s="49" t="s">
        <v>230</v>
      </c>
      <c r="S198" s="48"/>
      <c r="T198" s="49" t="s">
        <v>230</v>
      </c>
      <c r="U198" s="48"/>
      <c r="V198" s="46"/>
      <c r="W198" s="48"/>
      <c r="X198" s="50"/>
      <c r="Y198" s="51"/>
    </row>
    <row r="199" spans="1:25" ht="48" customHeight="1" thickBot="1" x14ac:dyDescent="0.3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 spans="1:25" ht="54" customHeight="1" thickTop="1" x14ac:dyDescent="0.25">
      <c r="A200" s="20">
        <f>'Invetario de Tablas'!A32</f>
        <v>29</v>
      </c>
      <c r="B200" s="29" t="s">
        <v>28</v>
      </c>
      <c r="C200" s="54" t="str">
        <f>'Invetario de Tablas'!B32</f>
        <v>lote_producto</v>
      </c>
      <c r="D200" s="55"/>
      <c r="E200" s="55"/>
      <c r="F200" s="56"/>
      <c r="G200" s="57" t="s">
        <v>29</v>
      </c>
      <c r="H200" s="58"/>
      <c r="I200" s="58"/>
      <c r="J200" s="59"/>
      <c r="K200" s="60" t="str">
        <f>'Invetario de Tablas'!C32</f>
        <v>Tabla intermedia formada por la cardinalidad M:N entre lote y producto</v>
      </c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2"/>
      <c r="X200" s="21" t="s">
        <v>32</v>
      </c>
      <c r="Y200" s="22"/>
    </row>
    <row r="201" spans="1:25" ht="60" customHeight="1" x14ac:dyDescent="0.25">
      <c r="A201" s="23" t="s">
        <v>1</v>
      </c>
      <c r="B201" s="24" t="s">
        <v>33</v>
      </c>
      <c r="C201" s="63" t="s">
        <v>34</v>
      </c>
      <c r="D201" s="64"/>
      <c r="E201" s="64"/>
      <c r="F201" s="65"/>
      <c r="G201" s="52" t="s">
        <v>35</v>
      </c>
      <c r="H201" s="64"/>
      <c r="I201" s="64"/>
      <c r="J201" s="65"/>
      <c r="K201" s="52" t="s">
        <v>36</v>
      </c>
      <c r="L201" s="64"/>
      <c r="M201" s="64"/>
      <c r="N201" s="65"/>
      <c r="O201" s="52" t="s">
        <v>37</v>
      </c>
      <c r="P201" s="64"/>
      <c r="Q201" s="65"/>
      <c r="R201" s="52" t="s">
        <v>38</v>
      </c>
      <c r="S201" s="65"/>
      <c r="T201" s="52" t="s">
        <v>39</v>
      </c>
      <c r="U201" s="65"/>
      <c r="V201" s="52" t="s">
        <v>40</v>
      </c>
      <c r="W201" s="65"/>
      <c r="X201" s="52" t="s">
        <v>41</v>
      </c>
      <c r="Y201" s="53"/>
    </row>
    <row r="202" spans="1:25" ht="30" customHeight="1" x14ac:dyDescent="0.25">
      <c r="A202" s="37">
        <v>1</v>
      </c>
      <c r="B202" s="36" t="s">
        <v>174</v>
      </c>
      <c r="C202" s="46" t="s">
        <v>306</v>
      </c>
      <c r="D202" s="47"/>
      <c r="E202" s="47"/>
      <c r="F202" s="48"/>
      <c r="G202" s="46" t="s">
        <v>54</v>
      </c>
      <c r="H202" s="47"/>
      <c r="I202" s="47"/>
      <c r="J202" s="48"/>
      <c r="K202" s="46"/>
      <c r="L202" s="47"/>
      <c r="M202" s="47"/>
      <c r="N202" s="48"/>
      <c r="O202" s="46" t="s">
        <v>229</v>
      </c>
      <c r="P202" s="47"/>
      <c r="Q202" s="48"/>
      <c r="R202" s="49" t="s">
        <v>230</v>
      </c>
      <c r="S202" s="48"/>
      <c r="T202" s="49" t="s">
        <v>230</v>
      </c>
      <c r="U202" s="48"/>
      <c r="V202" s="46"/>
      <c r="W202" s="48"/>
      <c r="X202" s="50"/>
      <c r="Y202" s="51"/>
    </row>
    <row r="203" spans="1:25" ht="30" customHeight="1" x14ac:dyDescent="0.25">
      <c r="A203" s="37">
        <v>2</v>
      </c>
      <c r="B203" s="36" t="s">
        <v>159</v>
      </c>
      <c r="C203" s="46" t="s">
        <v>307</v>
      </c>
      <c r="D203" s="47"/>
      <c r="E203" s="47"/>
      <c r="F203" s="48"/>
      <c r="G203" s="46" t="s">
        <v>54</v>
      </c>
      <c r="H203" s="47"/>
      <c r="I203" s="47"/>
      <c r="J203" s="48"/>
      <c r="K203" s="46"/>
      <c r="L203" s="47"/>
      <c r="M203" s="47"/>
      <c r="N203" s="48"/>
      <c r="O203" s="46" t="s">
        <v>229</v>
      </c>
      <c r="P203" s="47"/>
      <c r="Q203" s="48"/>
      <c r="R203" s="49" t="s">
        <v>230</v>
      </c>
      <c r="S203" s="48"/>
      <c r="T203" s="49" t="s">
        <v>230</v>
      </c>
      <c r="U203" s="48"/>
      <c r="V203" s="46"/>
      <c r="W203" s="48"/>
      <c r="X203" s="50"/>
      <c r="Y203" s="51"/>
    </row>
    <row r="204" spans="1:25" ht="48" customHeight="1" x14ac:dyDescent="0.3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 spans="1:25" ht="15.75" customHeight="1" x14ac:dyDescent="0.25"/>
    <row r="206" spans="1:25" ht="15.75" customHeight="1" x14ac:dyDescent="0.25"/>
    <row r="207" spans="1:25" ht="15.75" customHeight="1" x14ac:dyDescent="0.25"/>
    <row r="208" spans="1:25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</sheetData>
  <mergeCells count="1240">
    <mergeCell ref="C11:F11"/>
    <mergeCell ref="G11:J11"/>
    <mergeCell ref="K11:W11"/>
    <mergeCell ref="C12:F12"/>
    <mergeCell ref="G12:J12"/>
    <mergeCell ref="V9:W9"/>
    <mergeCell ref="X9:Y9"/>
    <mergeCell ref="C9:F9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X7:Y7"/>
    <mergeCell ref="V8:W8"/>
    <mergeCell ref="X8:Y8"/>
    <mergeCell ref="O7:Q7"/>
    <mergeCell ref="R7:S7"/>
    <mergeCell ref="T7:U7"/>
    <mergeCell ref="V7:W7"/>
    <mergeCell ref="K12:N12"/>
    <mergeCell ref="O12:Q12"/>
    <mergeCell ref="R12:S12"/>
    <mergeCell ref="T12:U12"/>
    <mergeCell ref="V12:W12"/>
    <mergeCell ref="O14:Q14"/>
    <mergeCell ref="R14:S14"/>
    <mergeCell ref="T14:U14"/>
    <mergeCell ref="V14:W14"/>
    <mergeCell ref="X14:Y14"/>
    <mergeCell ref="C14:F14"/>
    <mergeCell ref="C15:F15"/>
    <mergeCell ref="G15:J15"/>
    <mergeCell ref="K15:N15"/>
    <mergeCell ref="O15:Q15"/>
    <mergeCell ref="R15:S15"/>
    <mergeCell ref="T15:U15"/>
    <mergeCell ref="T13:U13"/>
    <mergeCell ref="V13:W13"/>
    <mergeCell ref="X13:Y13"/>
    <mergeCell ref="C13:F13"/>
    <mergeCell ref="G13:J13"/>
    <mergeCell ref="K13:N13"/>
    <mergeCell ref="O13:Q13"/>
    <mergeCell ref="R13:S13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C6:F6"/>
    <mergeCell ref="G6:J6"/>
    <mergeCell ref="K6:N6"/>
    <mergeCell ref="K7:N7"/>
    <mergeCell ref="G23:J23"/>
    <mergeCell ref="C21:F21"/>
    <mergeCell ref="G21:J21"/>
    <mergeCell ref="K21:N21"/>
    <mergeCell ref="O21:Q21"/>
    <mergeCell ref="R21:S21"/>
    <mergeCell ref="T21:U21"/>
    <mergeCell ref="V21:W21"/>
    <mergeCell ref="X21:Y21"/>
    <mergeCell ref="C19:F19"/>
    <mergeCell ref="G19:J19"/>
    <mergeCell ref="K19:N19"/>
    <mergeCell ref="O19:Q19"/>
    <mergeCell ref="R19:S19"/>
    <mergeCell ref="T19:U19"/>
    <mergeCell ref="V19:W19"/>
    <mergeCell ref="X19:Y19"/>
    <mergeCell ref="C20:F20"/>
    <mergeCell ref="G20:J20"/>
    <mergeCell ref="K20:N20"/>
    <mergeCell ref="O20:Q20"/>
    <mergeCell ref="R20:S20"/>
    <mergeCell ref="T20:U20"/>
    <mergeCell ref="V20:W20"/>
    <mergeCell ref="X20:Y20"/>
    <mergeCell ref="X12:Y12"/>
    <mergeCell ref="V15:W15"/>
    <mergeCell ref="X15:Y15"/>
    <mergeCell ref="G7:J7"/>
    <mergeCell ref="G14:J14"/>
    <mergeCell ref="K14:N14"/>
    <mergeCell ref="R27:S27"/>
    <mergeCell ref="T27:U27"/>
    <mergeCell ref="V27:W27"/>
    <mergeCell ref="X27:Y27"/>
    <mergeCell ref="C25:F25"/>
    <mergeCell ref="G25:J25"/>
    <mergeCell ref="K25:N25"/>
    <mergeCell ref="O25:Q25"/>
    <mergeCell ref="R25:S25"/>
    <mergeCell ref="T25:U25"/>
    <mergeCell ref="V25:W25"/>
    <mergeCell ref="X25:Y25"/>
    <mergeCell ref="C18:F18"/>
    <mergeCell ref="G18:J18"/>
    <mergeCell ref="C17:F17"/>
    <mergeCell ref="G17:J17"/>
    <mergeCell ref="K17:W17"/>
    <mergeCell ref="K18:N18"/>
    <mergeCell ref="O18:Q18"/>
    <mergeCell ref="R18:S18"/>
    <mergeCell ref="T18:U18"/>
    <mergeCell ref="V18:W18"/>
    <mergeCell ref="X18:Y18"/>
    <mergeCell ref="C24:F24"/>
    <mergeCell ref="G24:J24"/>
    <mergeCell ref="K24:N24"/>
    <mergeCell ref="O24:Q24"/>
    <mergeCell ref="R24:S24"/>
    <mergeCell ref="T24:U24"/>
    <mergeCell ref="V24:W24"/>
    <mergeCell ref="X24:Y24"/>
    <mergeCell ref="C23:F23"/>
    <mergeCell ref="C31:F31"/>
    <mergeCell ref="G31:J31"/>
    <mergeCell ref="K31:N31"/>
    <mergeCell ref="O31:Q31"/>
    <mergeCell ref="R31:S31"/>
    <mergeCell ref="T31:U31"/>
    <mergeCell ref="V31:W31"/>
    <mergeCell ref="X31:Y31"/>
    <mergeCell ref="K23:W23"/>
    <mergeCell ref="K29:W29"/>
    <mergeCell ref="C29:F29"/>
    <mergeCell ref="G29:J29"/>
    <mergeCell ref="C30:F30"/>
    <mergeCell ref="G30:J30"/>
    <mergeCell ref="K30:N30"/>
    <mergeCell ref="O30:Q30"/>
    <mergeCell ref="R30:S30"/>
    <mergeCell ref="T30:U30"/>
    <mergeCell ref="V30:W30"/>
    <mergeCell ref="X30:Y30"/>
    <mergeCell ref="C26:F26"/>
    <mergeCell ref="G26:J26"/>
    <mergeCell ref="K26:N26"/>
    <mergeCell ref="O26:Q26"/>
    <mergeCell ref="R26:S26"/>
    <mergeCell ref="T26:U26"/>
    <mergeCell ref="V26:W26"/>
    <mergeCell ref="X26:Y26"/>
    <mergeCell ref="C27:F27"/>
    <mergeCell ref="G27:J27"/>
    <mergeCell ref="K27:N27"/>
    <mergeCell ref="O27:Q27"/>
    <mergeCell ref="C35:F35"/>
    <mergeCell ref="G35:J35"/>
    <mergeCell ref="K35:W35"/>
    <mergeCell ref="C33:F33"/>
    <mergeCell ref="G33:J33"/>
    <mergeCell ref="K33:N33"/>
    <mergeCell ref="O33:Q33"/>
    <mergeCell ref="R33:S33"/>
    <mergeCell ref="T33:U33"/>
    <mergeCell ref="V33:W33"/>
    <mergeCell ref="X33:Y33"/>
    <mergeCell ref="K32:N32"/>
    <mergeCell ref="O32:Q32"/>
    <mergeCell ref="R32:S32"/>
    <mergeCell ref="T32:U32"/>
    <mergeCell ref="V32:W32"/>
    <mergeCell ref="X32:Y32"/>
    <mergeCell ref="C32:F32"/>
    <mergeCell ref="G32:J32"/>
    <mergeCell ref="C43:F43"/>
    <mergeCell ref="G43:J43"/>
    <mergeCell ref="K43:N43"/>
    <mergeCell ref="O43:Q43"/>
    <mergeCell ref="R43:S43"/>
    <mergeCell ref="T43:U43"/>
    <mergeCell ref="V43:W43"/>
    <mergeCell ref="X43:Y43"/>
    <mergeCell ref="C41:F41"/>
    <mergeCell ref="G41:J41"/>
    <mergeCell ref="K41:W41"/>
    <mergeCell ref="C39:F39"/>
    <mergeCell ref="G39:J39"/>
    <mergeCell ref="C36:F36"/>
    <mergeCell ref="G36:J36"/>
    <mergeCell ref="K36:N36"/>
    <mergeCell ref="O36:Q36"/>
    <mergeCell ref="R36:S36"/>
    <mergeCell ref="T36:U36"/>
    <mergeCell ref="V36:W36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38:F38"/>
    <mergeCell ref="G38:J38"/>
    <mergeCell ref="K38:N38"/>
    <mergeCell ref="O38:Q38"/>
    <mergeCell ref="R38:S38"/>
    <mergeCell ref="T38:U38"/>
    <mergeCell ref="V38:W38"/>
    <mergeCell ref="X38:Y38"/>
    <mergeCell ref="K39:N39"/>
    <mergeCell ref="O39:Q39"/>
    <mergeCell ref="R39:S39"/>
    <mergeCell ref="T39:U39"/>
    <mergeCell ref="V39:W39"/>
    <mergeCell ref="X39:Y39"/>
    <mergeCell ref="C42:F42"/>
    <mergeCell ref="G42:J42"/>
    <mergeCell ref="K42:N42"/>
    <mergeCell ref="O42:Q42"/>
    <mergeCell ref="R42:S42"/>
    <mergeCell ref="T42:U42"/>
    <mergeCell ref="V42:W42"/>
    <mergeCell ref="X42:Y42"/>
    <mergeCell ref="C47:F47"/>
    <mergeCell ref="G47:J47"/>
    <mergeCell ref="C46:F46"/>
    <mergeCell ref="G46:J46"/>
    <mergeCell ref="K46:W46"/>
    <mergeCell ref="K47:N47"/>
    <mergeCell ref="O47:Q47"/>
    <mergeCell ref="R47:S47"/>
    <mergeCell ref="T47:U47"/>
    <mergeCell ref="V47:W47"/>
    <mergeCell ref="X47:Y47"/>
    <mergeCell ref="C44:F44"/>
    <mergeCell ref="G44:J44"/>
    <mergeCell ref="K44:N44"/>
    <mergeCell ref="O44:Q44"/>
    <mergeCell ref="R44:S44"/>
    <mergeCell ref="T44:U44"/>
    <mergeCell ref="V44:W44"/>
    <mergeCell ref="X44:Y44"/>
    <mergeCell ref="C50:F50"/>
    <mergeCell ref="G50:J50"/>
    <mergeCell ref="K50:N50"/>
    <mergeCell ref="O50:Q50"/>
    <mergeCell ref="R50:S50"/>
    <mergeCell ref="T50:U50"/>
    <mergeCell ref="V50:W50"/>
    <mergeCell ref="X50:Y50"/>
    <mergeCell ref="C51:F51"/>
    <mergeCell ref="G51:J51"/>
    <mergeCell ref="K51:N51"/>
    <mergeCell ref="O51:Q51"/>
    <mergeCell ref="R51:S51"/>
    <mergeCell ref="T51:U51"/>
    <mergeCell ref="V51:W51"/>
    <mergeCell ref="X51:Y51"/>
    <mergeCell ref="C48:F48"/>
    <mergeCell ref="G48:J48"/>
    <mergeCell ref="K48:N48"/>
    <mergeCell ref="O48:Q48"/>
    <mergeCell ref="R48:S48"/>
    <mergeCell ref="T48:U48"/>
    <mergeCell ref="V48:W48"/>
    <mergeCell ref="X48:Y48"/>
    <mergeCell ref="C49:F49"/>
    <mergeCell ref="G49:J49"/>
    <mergeCell ref="K49:N49"/>
    <mergeCell ref="O49:Q49"/>
    <mergeCell ref="R49:S49"/>
    <mergeCell ref="T49:U49"/>
    <mergeCell ref="V49:W49"/>
    <mergeCell ref="X49:Y49"/>
    <mergeCell ref="C52:F52"/>
    <mergeCell ref="G52:J52"/>
    <mergeCell ref="K52:N52"/>
    <mergeCell ref="O52:Q52"/>
    <mergeCell ref="R52:S52"/>
    <mergeCell ref="T52:U52"/>
    <mergeCell ref="V52:W52"/>
    <mergeCell ref="X52:Y52"/>
    <mergeCell ref="C54:F54"/>
    <mergeCell ref="G54:J54"/>
    <mergeCell ref="K54:W54"/>
    <mergeCell ref="K55:N55"/>
    <mergeCell ref="O55:Q55"/>
    <mergeCell ref="R55:S55"/>
    <mergeCell ref="T55:U55"/>
    <mergeCell ref="V55:W55"/>
    <mergeCell ref="X55:Y55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5:F55"/>
    <mergeCell ref="G55:J55"/>
    <mergeCell ref="C56:F56"/>
    <mergeCell ref="G56:J56"/>
    <mergeCell ref="K56:N56"/>
    <mergeCell ref="O56:Q56"/>
    <mergeCell ref="R56:S56"/>
    <mergeCell ref="T56:U56"/>
    <mergeCell ref="V56:W56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69:F69"/>
    <mergeCell ref="G69:J69"/>
    <mergeCell ref="K69:N69"/>
    <mergeCell ref="O69:Q69"/>
    <mergeCell ref="R69:S69"/>
    <mergeCell ref="T69:U69"/>
    <mergeCell ref="V69:W69"/>
    <mergeCell ref="X69:Y69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C63:F63"/>
    <mergeCell ref="G63:J63"/>
    <mergeCell ref="K63:W63"/>
    <mergeCell ref="K64:N64"/>
    <mergeCell ref="O64:Q64"/>
    <mergeCell ref="R64:S64"/>
    <mergeCell ref="T64:U64"/>
    <mergeCell ref="V64:W64"/>
    <mergeCell ref="X64:Y64"/>
    <mergeCell ref="X68:Y68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64:F64"/>
    <mergeCell ref="G64:J64"/>
    <mergeCell ref="C65:F65"/>
    <mergeCell ref="G65:J65"/>
    <mergeCell ref="K65:N65"/>
    <mergeCell ref="O65:Q65"/>
    <mergeCell ref="R65:S65"/>
    <mergeCell ref="T65:U65"/>
    <mergeCell ref="V65:W65"/>
    <mergeCell ref="C73:F73"/>
    <mergeCell ref="G73:J73"/>
    <mergeCell ref="K73:N73"/>
    <mergeCell ref="O73:Q73"/>
    <mergeCell ref="R73:S73"/>
    <mergeCell ref="T73:U73"/>
    <mergeCell ref="V73:W73"/>
    <mergeCell ref="X73:Y73"/>
    <mergeCell ref="C74:F74"/>
    <mergeCell ref="G74:J74"/>
    <mergeCell ref="K74:N74"/>
    <mergeCell ref="O74:Q74"/>
    <mergeCell ref="R74:S74"/>
    <mergeCell ref="T74:U74"/>
    <mergeCell ref="V74:W74"/>
    <mergeCell ref="X74:Y74"/>
    <mergeCell ref="C71:F71"/>
    <mergeCell ref="G71:J71"/>
    <mergeCell ref="C72:F72"/>
    <mergeCell ref="G72:J72"/>
    <mergeCell ref="K72:N72"/>
    <mergeCell ref="O72:Q72"/>
    <mergeCell ref="R72:S72"/>
    <mergeCell ref="T72:U72"/>
    <mergeCell ref="V72:W72"/>
    <mergeCell ref="X72:Y72"/>
    <mergeCell ref="K71:W71"/>
    <mergeCell ref="C79:F79"/>
    <mergeCell ref="G79:J79"/>
    <mergeCell ref="C77:F77"/>
    <mergeCell ref="G77:J77"/>
    <mergeCell ref="K77:N77"/>
    <mergeCell ref="O77:Q77"/>
    <mergeCell ref="R77:S77"/>
    <mergeCell ref="T77:U77"/>
    <mergeCell ref="V77:W77"/>
    <mergeCell ref="X77:Y77"/>
    <mergeCell ref="K79:W79"/>
    <mergeCell ref="C75:F75"/>
    <mergeCell ref="G75:J75"/>
    <mergeCell ref="K75:N75"/>
    <mergeCell ref="O75:Q75"/>
    <mergeCell ref="R75:S75"/>
    <mergeCell ref="T75:U75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C81:F81"/>
    <mergeCell ref="G81:J81"/>
    <mergeCell ref="K81:N81"/>
    <mergeCell ref="O81:Q81"/>
    <mergeCell ref="R81:S81"/>
    <mergeCell ref="T81:U81"/>
    <mergeCell ref="V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0:F80"/>
    <mergeCell ref="G80:J80"/>
    <mergeCell ref="K80:N80"/>
    <mergeCell ref="O80:Q80"/>
    <mergeCell ref="R80:S80"/>
    <mergeCell ref="T80:U80"/>
    <mergeCell ref="V80:W80"/>
    <mergeCell ref="X80:Y80"/>
    <mergeCell ref="C87:F87"/>
    <mergeCell ref="G87:J87"/>
    <mergeCell ref="C85:F85"/>
    <mergeCell ref="G85:J85"/>
    <mergeCell ref="K85:N85"/>
    <mergeCell ref="O85:Q85"/>
    <mergeCell ref="R85:S85"/>
    <mergeCell ref="T85:U85"/>
    <mergeCell ref="V85:W85"/>
    <mergeCell ref="X85:Y85"/>
    <mergeCell ref="K87:W87"/>
    <mergeCell ref="C83:F83"/>
    <mergeCell ref="G83:J83"/>
    <mergeCell ref="K83:N83"/>
    <mergeCell ref="O83:Q83"/>
    <mergeCell ref="R83:S83"/>
    <mergeCell ref="T83:U83"/>
    <mergeCell ref="V83:W83"/>
    <mergeCell ref="X83:Y83"/>
    <mergeCell ref="C84:F84"/>
    <mergeCell ref="G84:J84"/>
    <mergeCell ref="K84:N84"/>
    <mergeCell ref="O84:Q84"/>
    <mergeCell ref="R84:S84"/>
    <mergeCell ref="T84:U84"/>
    <mergeCell ref="V84:W84"/>
    <mergeCell ref="X84:Y84"/>
    <mergeCell ref="C89:F89"/>
    <mergeCell ref="G89:J89"/>
    <mergeCell ref="K89:N89"/>
    <mergeCell ref="O89:Q89"/>
    <mergeCell ref="R89:S89"/>
    <mergeCell ref="T89:U89"/>
    <mergeCell ref="V89:W89"/>
    <mergeCell ref="X89:Y89"/>
    <mergeCell ref="C90:F90"/>
    <mergeCell ref="G90:J90"/>
    <mergeCell ref="K90:N90"/>
    <mergeCell ref="O90:Q90"/>
    <mergeCell ref="R90:S90"/>
    <mergeCell ref="T90:U90"/>
    <mergeCell ref="V90:W90"/>
    <mergeCell ref="X90:Y90"/>
    <mergeCell ref="C88:F88"/>
    <mergeCell ref="G88:J88"/>
    <mergeCell ref="K88:N88"/>
    <mergeCell ref="O88:Q88"/>
    <mergeCell ref="R88:S88"/>
    <mergeCell ref="T88:U88"/>
    <mergeCell ref="V88:W88"/>
    <mergeCell ref="X88:Y88"/>
    <mergeCell ref="C93:F93"/>
    <mergeCell ref="G93:J93"/>
    <mergeCell ref="K93:N93"/>
    <mergeCell ref="O93:Q93"/>
    <mergeCell ref="R93:S93"/>
    <mergeCell ref="T93:U93"/>
    <mergeCell ref="V93:W93"/>
    <mergeCell ref="X93:Y93"/>
    <mergeCell ref="C94:F94"/>
    <mergeCell ref="G94:J94"/>
    <mergeCell ref="K94:N94"/>
    <mergeCell ref="O94:Q94"/>
    <mergeCell ref="R94:S94"/>
    <mergeCell ref="T94:U94"/>
    <mergeCell ref="V94:W94"/>
    <mergeCell ref="X94:Y94"/>
    <mergeCell ref="C91:F91"/>
    <mergeCell ref="G91:J91"/>
    <mergeCell ref="K91:N91"/>
    <mergeCell ref="O91:Q91"/>
    <mergeCell ref="R91:S91"/>
    <mergeCell ref="T91:U91"/>
    <mergeCell ref="V91:W91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97:F97"/>
    <mergeCell ref="G97:J97"/>
    <mergeCell ref="K97:N97"/>
    <mergeCell ref="O97:Q97"/>
    <mergeCell ref="R97:S97"/>
    <mergeCell ref="T97:U97"/>
    <mergeCell ref="V97:W97"/>
    <mergeCell ref="X97:Y97"/>
    <mergeCell ref="C98:F98"/>
    <mergeCell ref="G98:J98"/>
    <mergeCell ref="K98:N98"/>
    <mergeCell ref="O98:Q98"/>
    <mergeCell ref="R98:S98"/>
    <mergeCell ref="T98:U98"/>
    <mergeCell ref="V98:W98"/>
    <mergeCell ref="X98:Y98"/>
    <mergeCell ref="C96:F96"/>
    <mergeCell ref="G96:J96"/>
    <mergeCell ref="K96:W96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C99:F99"/>
    <mergeCell ref="G99:J99"/>
    <mergeCell ref="K99:N99"/>
    <mergeCell ref="O99:Q99"/>
    <mergeCell ref="R99:S99"/>
    <mergeCell ref="T99:U99"/>
    <mergeCell ref="V99:W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4:F104"/>
    <mergeCell ref="G104:J104"/>
    <mergeCell ref="K104:W104"/>
    <mergeCell ref="C105:F105"/>
    <mergeCell ref="G105:J105"/>
    <mergeCell ref="K105:N105"/>
    <mergeCell ref="O105:Q105"/>
    <mergeCell ref="R105:S105"/>
    <mergeCell ref="T105:U105"/>
    <mergeCell ref="V105:W105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2:F112"/>
    <mergeCell ref="G112:J112"/>
    <mergeCell ref="K112:W112"/>
    <mergeCell ref="C113:F113"/>
    <mergeCell ref="G113:J113"/>
    <mergeCell ref="K113:N113"/>
    <mergeCell ref="O113:Q113"/>
    <mergeCell ref="R113:S113"/>
    <mergeCell ref="T113:U113"/>
    <mergeCell ref="V113:W113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0:F120"/>
    <mergeCell ref="G120:J120"/>
    <mergeCell ref="K120:W120"/>
    <mergeCell ref="C121:F121"/>
    <mergeCell ref="G121:J121"/>
    <mergeCell ref="K121:N121"/>
    <mergeCell ref="O121:Q121"/>
    <mergeCell ref="R121:S121"/>
    <mergeCell ref="T121:U121"/>
    <mergeCell ref="V121:W121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X128:Y128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27:F127"/>
    <mergeCell ref="G127:J127"/>
    <mergeCell ref="K127:W127"/>
    <mergeCell ref="C128:F128"/>
    <mergeCell ref="G128:J128"/>
    <mergeCell ref="K128:N128"/>
    <mergeCell ref="O128:Q128"/>
    <mergeCell ref="R128:S128"/>
    <mergeCell ref="T128:U128"/>
    <mergeCell ref="V128:W128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X135:Y135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4:F134"/>
    <mergeCell ref="G134:J134"/>
    <mergeCell ref="K134:W134"/>
    <mergeCell ref="C135:F135"/>
    <mergeCell ref="G135:J135"/>
    <mergeCell ref="K135:N135"/>
    <mergeCell ref="O135:Q135"/>
    <mergeCell ref="R135:S135"/>
    <mergeCell ref="T135:U135"/>
    <mergeCell ref="V135:W135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42:F142"/>
    <mergeCell ref="G142:J142"/>
    <mergeCell ref="K142:W142"/>
    <mergeCell ref="C143:F143"/>
    <mergeCell ref="G143:J143"/>
    <mergeCell ref="K143:N143"/>
    <mergeCell ref="O143:Q143"/>
    <mergeCell ref="R143:S143"/>
    <mergeCell ref="T143:U143"/>
    <mergeCell ref="V143:W143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5:F145"/>
    <mergeCell ref="G145:J145"/>
    <mergeCell ref="K145:N145"/>
    <mergeCell ref="O145:Q145"/>
    <mergeCell ref="R145:S145"/>
    <mergeCell ref="T145:U145"/>
    <mergeCell ref="V145:W145"/>
    <mergeCell ref="X145:Y145"/>
    <mergeCell ref="C146:F146"/>
    <mergeCell ref="G146:J146"/>
    <mergeCell ref="K146:N146"/>
    <mergeCell ref="O146:Q146"/>
    <mergeCell ref="R146:S146"/>
    <mergeCell ref="T146:U146"/>
    <mergeCell ref="V146:W146"/>
    <mergeCell ref="X146:Y146"/>
    <mergeCell ref="X151:Y151"/>
    <mergeCell ref="C152:F152"/>
    <mergeCell ref="G152:J152"/>
    <mergeCell ref="K152:N152"/>
    <mergeCell ref="O152:Q152"/>
    <mergeCell ref="R152:S152"/>
    <mergeCell ref="T152:U152"/>
    <mergeCell ref="V152:W152"/>
    <mergeCell ref="X152:Y152"/>
    <mergeCell ref="C150:F150"/>
    <mergeCell ref="G150:J150"/>
    <mergeCell ref="K150:W150"/>
    <mergeCell ref="C151:F151"/>
    <mergeCell ref="G151:J151"/>
    <mergeCell ref="K151:N151"/>
    <mergeCell ref="O151:Q151"/>
    <mergeCell ref="R151:S151"/>
    <mergeCell ref="T151:U151"/>
    <mergeCell ref="V151:W151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3:F153"/>
    <mergeCell ref="G153:J153"/>
    <mergeCell ref="K153:N153"/>
    <mergeCell ref="O153:Q153"/>
    <mergeCell ref="R153:S153"/>
    <mergeCell ref="T153:U153"/>
    <mergeCell ref="V153:W153"/>
    <mergeCell ref="X153:Y153"/>
    <mergeCell ref="C154:F154"/>
    <mergeCell ref="G154:J154"/>
    <mergeCell ref="K154:N154"/>
    <mergeCell ref="O154:Q154"/>
    <mergeCell ref="R154:S154"/>
    <mergeCell ref="T154:U154"/>
    <mergeCell ref="V154:W154"/>
    <mergeCell ref="X154:Y154"/>
    <mergeCell ref="X159:Y159"/>
    <mergeCell ref="C160:F160"/>
    <mergeCell ref="G160:J160"/>
    <mergeCell ref="K160:N160"/>
    <mergeCell ref="O160:Q160"/>
    <mergeCell ref="R160:S160"/>
    <mergeCell ref="T160:U160"/>
    <mergeCell ref="V160:W160"/>
    <mergeCell ref="X160:Y160"/>
    <mergeCell ref="C158:F158"/>
    <mergeCell ref="G158:J158"/>
    <mergeCell ref="K158:W158"/>
    <mergeCell ref="C159:F159"/>
    <mergeCell ref="G159:J159"/>
    <mergeCell ref="K159:N159"/>
    <mergeCell ref="O159:Q159"/>
    <mergeCell ref="R159:S159"/>
    <mergeCell ref="T159:U159"/>
    <mergeCell ref="V159:W159"/>
    <mergeCell ref="C163:F163"/>
    <mergeCell ref="G163:J163"/>
    <mergeCell ref="K163:N163"/>
    <mergeCell ref="O163:Q163"/>
    <mergeCell ref="R163:S163"/>
    <mergeCell ref="T163:U163"/>
    <mergeCell ref="V163:W163"/>
    <mergeCell ref="X163:Y163"/>
    <mergeCell ref="C164:F164"/>
    <mergeCell ref="G164:J164"/>
    <mergeCell ref="K164:N164"/>
    <mergeCell ref="O164:Q164"/>
    <mergeCell ref="R164:S164"/>
    <mergeCell ref="T164:U164"/>
    <mergeCell ref="V164:W164"/>
    <mergeCell ref="X164:Y164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C162:F162"/>
    <mergeCell ref="G162:J162"/>
    <mergeCell ref="K162:N162"/>
    <mergeCell ref="O162:Q162"/>
    <mergeCell ref="R162:S162"/>
    <mergeCell ref="T162:U162"/>
    <mergeCell ref="V162:W162"/>
    <mergeCell ref="X162:Y162"/>
    <mergeCell ref="X167:Y167"/>
    <mergeCell ref="C168:F168"/>
    <mergeCell ref="G168:J168"/>
    <mergeCell ref="K168:N168"/>
    <mergeCell ref="O168:Q168"/>
    <mergeCell ref="R168:S168"/>
    <mergeCell ref="T168:U168"/>
    <mergeCell ref="V168:W168"/>
    <mergeCell ref="X168:Y168"/>
    <mergeCell ref="C166:F166"/>
    <mergeCell ref="G166:J166"/>
    <mergeCell ref="K166:W166"/>
    <mergeCell ref="C167:F167"/>
    <mergeCell ref="G167:J167"/>
    <mergeCell ref="K167:N167"/>
    <mergeCell ref="O167:Q167"/>
    <mergeCell ref="R167:S167"/>
    <mergeCell ref="T167:U167"/>
    <mergeCell ref="V167:W167"/>
    <mergeCell ref="C171:F171"/>
    <mergeCell ref="G171:J171"/>
    <mergeCell ref="K171:N171"/>
    <mergeCell ref="O171:Q171"/>
    <mergeCell ref="R171:S171"/>
    <mergeCell ref="T171:U171"/>
    <mergeCell ref="V171:W171"/>
    <mergeCell ref="X171:Y171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X174:Y174"/>
    <mergeCell ref="C175:F175"/>
    <mergeCell ref="G175:J175"/>
    <mergeCell ref="K175:N175"/>
    <mergeCell ref="O175:Q175"/>
    <mergeCell ref="R175:S175"/>
    <mergeCell ref="T175:U175"/>
    <mergeCell ref="V175:W175"/>
    <mergeCell ref="X175:Y175"/>
    <mergeCell ref="C173:F173"/>
    <mergeCell ref="G173:J173"/>
    <mergeCell ref="K173:W173"/>
    <mergeCell ref="C174:F174"/>
    <mergeCell ref="G174:J174"/>
    <mergeCell ref="K174:N174"/>
    <mergeCell ref="O174:Q174"/>
    <mergeCell ref="R174:S174"/>
    <mergeCell ref="T174:U174"/>
    <mergeCell ref="V174:W174"/>
    <mergeCell ref="X177:Y177"/>
    <mergeCell ref="C178:F178"/>
    <mergeCell ref="G178:J178"/>
    <mergeCell ref="K178:N178"/>
    <mergeCell ref="O178:Q178"/>
    <mergeCell ref="R178:S178"/>
    <mergeCell ref="T178:U178"/>
    <mergeCell ref="V178:W178"/>
    <mergeCell ref="X178:Y178"/>
    <mergeCell ref="C176:F176"/>
    <mergeCell ref="G176:J176"/>
    <mergeCell ref="K176:N176"/>
    <mergeCell ref="O176:Q176"/>
    <mergeCell ref="R176:S176"/>
    <mergeCell ref="T176:U176"/>
    <mergeCell ref="V176:W176"/>
    <mergeCell ref="X176:Y176"/>
    <mergeCell ref="C180:F180"/>
    <mergeCell ref="G180:J180"/>
    <mergeCell ref="K180:W180"/>
    <mergeCell ref="C181:F181"/>
    <mergeCell ref="G181:J181"/>
    <mergeCell ref="K181:N181"/>
    <mergeCell ref="O181:Q181"/>
    <mergeCell ref="R181:S181"/>
    <mergeCell ref="T181:U181"/>
    <mergeCell ref="V181:W181"/>
    <mergeCell ref="C177:F177"/>
    <mergeCell ref="G177:J177"/>
    <mergeCell ref="K177:N177"/>
    <mergeCell ref="O177:Q177"/>
    <mergeCell ref="R177:S177"/>
    <mergeCell ref="T177:U177"/>
    <mergeCell ref="V177:W177"/>
    <mergeCell ref="C183:F183"/>
    <mergeCell ref="G183:J183"/>
    <mergeCell ref="K183:N183"/>
    <mergeCell ref="O183:Q183"/>
    <mergeCell ref="R183:S183"/>
    <mergeCell ref="T183:U183"/>
    <mergeCell ref="V183:W183"/>
    <mergeCell ref="X183:Y183"/>
    <mergeCell ref="X181:Y181"/>
    <mergeCell ref="C182:F182"/>
    <mergeCell ref="G182:J182"/>
    <mergeCell ref="K182:N182"/>
    <mergeCell ref="O182:Q182"/>
    <mergeCell ref="R182:S182"/>
    <mergeCell ref="T182:U182"/>
    <mergeCell ref="V182:W182"/>
    <mergeCell ref="X182:Y182"/>
    <mergeCell ref="X188:Y188"/>
    <mergeCell ref="X186:Y186"/>
    <mergeCell ref="C187:F187"/>
    <mergeCell ref="G187:J187"/>
    <mergeCell ref="K187:N187"/>
    <mergeCell ref="O187:Q187"/>
    <mergeCell ref="R187:S187"/>
    <mergeCell ref="T187:U187"/>
    <mergeCell ref="V187:W187"/>
    <mergeCell ref="X187:Y187"/>
    <mergeCell ref="C185:F185"/>
    <mergeCell ref="G185:J185"/>
    <mergeCell ref="K185:W185"/>
    <mergeCell ref="C186:F186"/>
    <mergeCell ref="G186:J186"/>
    <mergeCell ref="K186:N186"/>
    <mergeCell ref="O186:Q186"/>
    <mergeCell ref="R186:S186"/>
    <mergeCell ref="T186:U186"/>
    <mergeCell ref="V186:W186"/>
    <mergeCell ref="C190:F190"/>
    <mergeCell ref="G190:J190"/>
    <mergeCell ref="K190:W190"/>
    <mergeCell ref="C191:F191"/>
    <mergeCell ref="G191:J191"/>
    <mergeCell ref="K191:N191"/>
    <mergeCell ref="O191:Q191"/>
    <mergeCell ref="R191:S191"/>
    <mergeCell ref="T191:U191"/>
    <mergeCell ref="V191:W191"/>
    <mergeCell ref="C188:F188"/>
    <mergeCell ref="G188:J188"/>
    <mergeCell ref="K188:N188"/>
    <mergeCell ref="O188:Q188"/>
    <mergeCell ref="R188:S188"/>
    <mergeCell ref="T188:U188"/>
    <mergeCell ref="V188:W188"/>
    <mergeCell ref="C193:F193"/>
    <mergeCell ref="G193:J193"/>
    <mergeCell ref="K193:N193"/>
    <mergeCell ref="O193:Q193"/>
    <mergeCell ref="R193:S193"/>
    <mergeCell ref="T193:U193"/>
    <mergeCell ref="V193:W193"/>
    <mergeCell ref="X193:Y193"/>
    <mergeCell ref="X191:Y191"/>
    <mergeCell ref="C192:F192"/>
    <mergeCell ref="G192:J192"/>
    <mergeCell ref="K192:N192"/>
    <mergeCell ref="O192:Q192"/>
    <mergeCell ref="R192:S192"/>
    <mergeCell ref="T192:U192"/>
    <mergeCell ref="V192:W192"/>
    <mergeCell ref="X192:Y192"/>
    <mergeCell ref="X198:Y198"/>
    <mergeCell ref="X196:Y196"/>
    <mergeCell ref="C197:F197"/>
    <mergeCell ref="G197:J197"/>
    <mergeCell ref="K197:N197"/>
    <mergeCell ref="O197:Q197"/>
    <mergeCell ref="R197:S197"/>
    <mergeCell ref="T197:U197"/>
    <mergeCell ref="V197:W197"/>
    <mergeCell ref="X197:Y197"/>
    <mergeCell ref="C195:F195"/>
    <mergeCell ref="G195:J195"/>
    <mergeCell ref="K195:W195"/>
    <mergeCell ref="C196:F196"/>
    <mergeCell ref="G196:J196"/>
    <mergeCell ref="K196:N196"/>
    <mergeCell ref="O196:Q196"/>
    <mergeCell ref="R196:S196"/>
    <mergeCell ref="T196:U196"/>
    <mergeCell ref="V196:W196"/>
    <mergeCell ref="C200:F200"/>
    <mergeCell ref="G200:J200"/>
    <mergeCell ref="K200:W200"/>
    <mergeCell ref="C201:F201"/>
    <mergeCell ref="G201:J201"/>
    <mergeCell ref="K201:N201"/>
    <mergeCell ref="O201:Q201"/>
    <mergeCell ref="R201:S201"/>
    <mergeCell ref="T201:U201"/>
    <mergeCell ref="V201:W201"/>
    <mergeCell ref="C198:F198"/>
    <mergeCell ref="G198:J198"/>
    <mergeCell ref="K198:N198"/>
    <mergeCell ref="O198:Q198"/>
    <mergeCell ref="R198:S198"/>
    <mergeCell ref="T198:U198"/>
    <mergeCell ref="V198:W198"/>
    <mergeCell ref="C203:F203"/>
    <mergeCell ref="G203:J203"/>
    <mergeCell ref="K203:N203"/>
    <mergeCell ref="O203:Q203"/>
    <mergeCell ref="R203:S203"/>
    <mergeCell ref="T203:U203"/>
    <mergeCell ref="V203:W203"/>
    <mergeCell ref="X203:Y203"/>
    <mergeCell ref="X201:Y201"/>
    <mergeCell ref="C202:F202"/>
    <mergeCell ref="G202:J202"/>
    <mergeCell ref="K202:N202"/>
    <mergeCell ref="O202:Q202"/>
    <mergeCell ref="R202:S202"/>
    <mergeCell ref="T202:U202"/>
    <mergeCell ref="V202:W202"/>
    <mergeCell ref="X202:Y20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B1B6-B4D9-4459-A29E-2652C33C5A57}">
  <sheetPr>
    <outlinePr summaryBelow="0" summaryRight="0"/>
  </sheetPr>
  <dimension ref="A1:Y882"/>
  <sheetViews>
    <sheetView topLeftCell="A27" zoomScale="55" zoomScaleNormal="55" workbookViewId="0">
      <selection activeCell="A178" sqref="A178"/>
    </sheetView>
  </sheetViews>
  <sheetFormatPr baseColWidth="10" defaultColWidth="12.6640625" defaultRowHeight="15" customHeight="1" x14ac:dyDescent="0.25"/>
  <cols>
    <col min="1" max="1" width="5.6640625" style="28" customWidth="1"/>
    <col min="2" max="2" width="33.77734375" style="28" customWidth="1"/>
    <col min="3" max="3" width="13.33203125" style="28" customWidth="1"/>
    <col min="4" max="5" width="3.88671875" style="28" customWidth="1"/>
    <col min="6" max="6" width="21.6640625" style="28" customWidth="1"/>
    <col min="7" max="9" width="3.88671875" style="28" customWidth="1"/>
    <col min="10" max="10" width="20.21875" style="28" customWidth="1"/>
    <col min="11" max="22" width="3.88671875" style="28" customWidth="1"/>
    <col min="23" max="23" width="4.6640625" style="28" customWidth="1"/>
    <col min="24" max="24" width="17" style="28" customWidth="1"/>
    <col min="25" max="25" width="30.33203125" style="28" customWidth="1"/>
    <col min="26" max="16384" width="12.6640625" style="28"/>
  </cols>
  <sheetData>
    <row r="1" spans="1:25" ht="39" customHeight="1" x14ac:dyDescent="0.25">
      <c r="A1" s="70" t="s">
        <v>42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</row>
    <row r="2" spans="1:25" ht="28.5" customHeight="1" thickBot="1" x14ac:dyDescent="0.3"/>
    <row r="3" spans="1:25" ht="62.25" customHeight="1" thickTop="1" x14ac:dyDescent="0.25">
      <c r="A3" s="20">
        <f>'Invetario de Tablas'!A4</f>
        <v>1</v>
      </c>
      <c r="B3" s="29" t="s">
        <v>28</v>
      </c>
      <c r="C3" s="54" t="str">
        <f>'Invetario de Tablas'!B4</f>
        <v>apicultor</v>
      </c>
      <c r="D3" s="71"/>
      <c r="E3" s="71"/>
      <c r="F3" s="72"/>
      <c r="G3" s="57" t="s">
        <v>29</v>
      </c>
      <c r="H3" s="71"/>
      <c r="I3" s="71"/>
      <c r="J3" s="72"/>
      <c r="K3" s="60" t="str">
        <f>'Invetario de Tablas'!C4</f>
        <v>Personas que producen productos apícolas.</v>
      </c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2"/>
      <c r="X3" s="21" t="s">
        <v>32</v>
      </c>
      <c r="Y3" s="22"/>
    </row>
    <row r="4" spans="1:25" ht="42.75" customHeight="1" x14ac:dyDescent="0.25">
      <c r="A4" s="23" t="s">
        <v>1</v>
      </c>
      <c r="B4" s="24" t="s">
        <v>33</v>
      </c>
      <c r="C4" s="52" t="s">
        <v>34</v>
      </c>
      <c r="D4" s="42"/>
      <c r="E4" s="42"/>
      <c r="F4" s="43"/>
      <c r="G4" s="52" t="s">
        <v>43</v>
      </c>
      <c r="H4" s="64"/>
      <c r="I4" s="64"/>
      <c r="J4" s="65"/>
      <c r="K4" s="52" t="s">
        <v>36</v>
      </c>
      <c r="L4" s="42"/>
      <c r="M4" s="42"/>
      <c r="N4" s="43"/>
      <c r="O4" s="52" t="s">
        <v>37</v>
      </c>
      <c r="P4" s="42"/>
      <c r="Q4" s="43"/>
      <c r="R4" s="52" t="s">
        <v>38</v>
      </c>
      <c r="S4" s="43"/>
      <c r="T4" s="52" t="s">
        <v>39</v>
      </c>
      <c r="U4" s="43"/>
      <c r="V4" s="52" t="s">
        <v>40</v>
      </c>
      <c r="W4" s="43"/>
      <c r="X4" s="52" t="s">
        <v>41</v>
      </c>
      <c r="Y4" s="73"/>
    </row>
    <row r="5" spans="1:25" ht="30" customHeight="1" x14ac:dyDescent="0.25">
      <c r="A5" s="25">
        <v>1</v>
      </c>
      <c r="B5" s="34" t="s">
        <v>145</v>
      </c>
      <c r="C5" s="67" t="s">
        <v>148</v>
      </c>
      <c r="D5" s="42"/>
      <c r="E5" s="42"/>
      <c r="F5" s="43"/>
      <c r="G5" s="67" t="s">
        <v>309</v>
      </c>
      <c r="H5" s="42"/>
      <c r="I5" s="42"/>
      <c r="J5" s="43"/>
      <c r="K5" s="49">
        <v>11</v>
      </c>
      <c r="L5" s="47"/>
      <c r="M5" s="47"/>
      <c r="N5" s="48"/>
      <c r="O5" s="49" t="s">
        <v>229</v>
      </c>
      <c r="P5" s="47"/>
      <c r="Q5" s="48"/>
      <c r="R5" s="49" t="s">
        <v>230</v>
      </c>
      <c r="S5" s="48"/>
      <c r="T5" s="49"/>
      <c r="U5" s="48"/>
      <c r="V5" s="49" t="s">
        <v>230</v>
      </c>
      <c r="W5" s="48"/>
      <c r="X5" s="50"/>
      <c r="Y5" s="73"/>
    </row>
    <row r="6" spans="1:25" ht="30" customHeight="1" x14ac:dyDescent="0.25">
      <c r="A6" s="25">
        <v>2</v>
      </c>
      <c r="B6" s="34" t="s">
        <v>146</v>
      </c>
      <c r="C6" s="67" t="s">
        <v>149</v>
      </c>
      <c r="D6" s="42"/>
      <c r="E6" s="42"/>
      <c r="F6" s="43"/>
      <c r="G6" s="67" t="s">
        <v>310</v>
      </c>
      <c r="H6" s="42"/>
      <c r="I6" s="42"/>
      <c r="J6" s="43"/>
      <c r="K6" s="49">
        <v>50</v>
      </c>
      <c r="L6" s="47"/>
      <c r="M6" s="47"/>
      <c r="N6" s="48"/>
      <c r="O6" s="49" t="s">
        <v>229</v>
      </c>
      <c r="P6" s="47"/>
      <c r="Q6" s="48"/>
      <c r="R6" s="49"/>
      <c r="S6" s="48"/>
      <c r="T6" s="49"/>
      <c r="U6" s="48"/>
      <c r="V6" s="49"/>
      <c r="W6" s="48"/>
      <c r="X6" s="50"/>
      <c r="Y6" s="73"/>
    </row>
    <row r="7" spans="1:25" ht="30" customHeight="1" x14ac:dyDescent="0.25">
      <c r="A7" s="25">
        <v>3</v>
      </c>
      <c r="B7" s="34" t="s">
        <v>147</v>
      </c>
      <c r="C7" s="67" t="s">
        <v>150</v>
      </c>
      <c r="D7" s="42"/>
      <c r="E7" s="42"/>
      <c r="F7" s="43"/>
      <c r="G7" s="67" t="s">
        <v>62</v>
      </c>
      <c r="H7" s="42"/>
      <c r="I7" s="42"/>
      <c r="J7" s="43"/>
      <c r="K7" s="49"/>
      <c r="L7" s="47"/>
      <c r="M7" s="47"/>
      <c r="N7" s="48"/>
      <c r="O7" s="49" t="s">
        <v>231</v>
      </c>
      <c r="P7" s="47"/>
      <c r="Q7" s="48"/>
      <c r="R7" s="49"/>
      <c r="S7" s="48"/>
      <c r="T7" s="49"/>
      <c r="U7" s="48"/>
      <c r="V7" s="49"/>
      <c r="W7" s="48"/>
      <c r="X7" s="50"/>
      <c r="Y7" s="73"/>
    </row>
    <row r="8" spans="1:25" ht="30" customHeight="1" x14ac:dyDescent="0.25">
      <c r="A8" s="25">
        <v>4</v>
      </c>
      <c r="B8" s="34" t="s">
        <v>151</v>
      </c>
      <c r="C8" s="67" t="s">
        <v>153</v>
      </c>
      <c r="D8" s="42"/>
      <c r="E8" s="42"/>
      <c r="F8" s="43"/>
      <c r="G8" s="67" t="s">
        <v>310</v>
      </c>
      <c r="H8" s="42"/>
      <c r="I8" s="42"/>
      <c r="J8" s="43"/>
      <c r="K8" s="46">
        <v>15</v>
      </c>
      <c r="L8" s="47"/>
      <c r="M8" s="47"/>
      <c r="N8" s="48"/>
      <c r="O8" s="46" t="s">
        <v>229</v>
      </c>
      <c r="P8" s="47"/>
      <c r="Q8" s="48"/>
      <c r="R8" s="46"/>
      <c r="S8" s="48"/>
      <c r="T8" s="46"/>
      <c r="U8" s="48"/>
      <c r="V8" s="49" t="s">
        <v>230</v>
      </c>
      <c r="W8" s="48"/>
      <c r="X8" s="50"/>
      <c r="Y8" s="73"/>
    </row>
    <row r="9" spans="1:25" ht="30" customHeight="1" x14ac:dyDescent="0.25">
      <c r="A9" s="25">
        <v>5</v>
      </c>
      <c r="B9" s="34" t="s">
        <v>152</v>
      </c>
      <c r="C9" s="67" t="s">
        <v>154</v>
      </c>
      <c r="D9" s="42"/>
      <c r="E9" s="42"/>
      <c r="F9" s="43"/>
      <c r="G9" s="67" t="s">
        <v>310</v>
      </c>
      <c r="H9" s="42"/>
      <c r="I9" s="42"/>
      <c r="J9" s="43"/>
      <c r="K9" s="46">
        <v>100</v>
      </c>
      <c r="L9" s="47"/>
      <c r="M9" s="47"/>
      <c r="N9" s="48"/>
      <c r="O9" s="46" t="s">
        <v>229</v>
      </c>
      <c r="P9" s="47"/>
      <c r="Q9" s="48"/>
      <c r="R9" s="46"/>
      <c r="S9" s="48"/>
      <c r="T9" s="46"/>
      <c r="U9" s="48"/>
      <c r="V9" s="49" t="s">
        <v>230</v>
      </c>
      <c r="W9" s="48"/>
      <c r="X9" s="50"/>
      <c r="Y9" s="73"/>
    </row>
    <row r="10" spans="1:25" ht="36" customHeight="1" thickBot="1" x14ac:dyDescent="0.3"/>
    <row r="11" spans="1:25" ht="54" customHeight="1" thickTop="1" x14ac:dyDescent="0.25">
      <c r="A11" s="20">
        <f>'Invetario de Tablas'!A5</f>
        <v>2</v>
      </c>
      <c r="B11" s="29" t="s">
        <v>28</v>
      </c>
      <c r="C11" s="54" t="str">
        <f>'Invetario de Tablas'!B5</f>
        <v>apiario</v>
      </c>
      <c r="D11" s="55"/>
      <c r="E11" s="55"/>
      <c r="F11" s="56"/>
      <c r="G11" s="57" t="s">
        <v>29</v>
      </c>
      <c r="H11" s="58"/>
      <c r="I11" s="58"/>
      <c r="J11" s="59"/>
      <c r="K11" s="60" t="str">
        <f>'Invetario de Tablas'!C5</f>
        <v>Lugar donde el apicultor mantiene su producción.</v>
      </c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2"/>
      <c r="X11" s="21" t="s">
        <v>32</v>
      </c>
      <c r="Y11" s="22"/>
    </row>
    <row r="12" spans="1:25" ht="60" customHeight="1" x14ac:dyDescent="0.25">
      <c r="A12" s="23" t="s">
        <v>1</v>
      </c>
      <c r="B12" s="24" t="s">
        <v>33</v>
      </c>
      <c r="C12" s="52" t="s">
        <v>34</v>
      </c>
      <c r="D12" s="64"/>
      <c r="E12" s="64"/>
      <c r="F12" s="65"/>
      <c r="G12" s="52" t="s">
        <v>43</v>
      </c>
      <c r="H12" s="64"/>
      <c r="I12" s="64"/>
      <c r="J12" s="65"/>
      <c r="K12" s="52" t="s">
        <v>36</v>
      </c>
      <c r="L12" s="64"/>
      <c r="M12" s="64"/>
      <c r="N12" s="65"/>
      <c r="O12" s="52" t="s">
        <v>37</v>
      </c>
      <c r="P12" s="64"/>
      <c r="Q12" s="65"/>
      <c r="R12" s="52" t="s">
        <v>38</v>
      </c>
      <c r="S12" s="65"/>
      <c r="T12" s="52" t="s">
        <v>39</v>
      </c>
      <c r="U12" s="65"/>
      <c r="V12" s="52" t="s">
        <v>40</v>
      </c>
      <c r="W12" s="65"/>
      <c r="X12" s="52" t="s">
        <v>41</v>
      </c>
      <c r="Y12" s="53"/>
    </row>
    <row r="13" spans="1:25" ht="30" customHeight="1" x14ac:dyDescent="0.25">
      <c r="A13" s="26">
        <v>1</v>
      </c>
      <c r="B13" s="34" t="s">
        <v>155</v>
      </c>
      <c r="C13" s="67" t="s">
        <v>156</v>
      </c>
      <c r="D13" s="68"/>
      <c r="E13" s="68"/>
      <c r="F13" s="69"/>
      <c r="G13" s="67" t="s">
        <v>309</v>
      </c>
      <c r="H13" s="42"/>
      <c r="I13" s="42"/>
      <c r="J13" s="43"/>
      <c r="K13" s="46">
        <v>11</v>
      </c>
      <c r="L13" s="47"/>
      <c r="M13" s="47"/>
      <c r="N13" s="48"/>
      <c r="O13" s="46" t="s">
        <v>229</v>
      </c>
      <c r="P13" s="47"/>
      <c r="Q13" s="48"/>
      <c r="R13" s="49" t="s">
        <v>230</v>
      </c>
      <c r="S13" s="48"/>
      <c r="T13" s="46"/>
      <c r="U13" s="48"/>
      <c r="V13" s="46"/>
      <c r="W13" s="48"/>
      <c r="X13" s="50"/>
      <c r="Y13" s="51"/>
    </row>
    <row r="14" spans="1:25" ht="30" customHeight="1" x14ac:dyDescent="0.25">
      <c r="A14" s="26">
        <v>2</v>
      </c>
      <c r="B14" s="34" t="s">
        <v>145</v>
      </c>
      <c r="C14" s="67" t="s">
        <v>157</v>
      </c>
      <c r="D14" s="68"/>
      <c r="E14" s="68"/>
      <c r="F14" s="69"/>
      <c r="G14" s="67" t="s">
        <v>55</v>
      </c>
      <c r="H14" s="68"/>
      <c r="I14" s="68"/>
      <c r="J14" s="69"/>
      <c r="K14" s="46">
        <v>11</v>
      </c>
      <c r="L14" s="47"/>
      <c r="M14" s="47"/>
      <c r="N14" s="48"/>
      <c r="O14" s="46" t="s">
        <v>229</v>
      </c>
      <c r="P14" s="47"/>
      <c r="Q14" s="48"/>
      <c r="R14" s="46"/>
      <c r="S14" s="48"/>
      <c r="T14" s="49" t="s">
        <v>230</v>
      </c>
      <c r="U14" s="48"/>
      <c r="V14" s="46"/>
      <c r="W14" s="48"/>
      <c r="X14" s="50"/>
      <c r="Y14" s="51"/>
    </row>
    <row r="15" spans="1:25" ht="30" customHeight="1" x14ac:dyDescent="0.25">
      <c r="A15" s="26">
        <v>3</v>
      </c>
      <c r="B15" s="34" t="s">
        <v>287</v>
      </c>
      <c r="C15" s="67" t="s">
        <v>158</v>
      </c>
      <c r="D15" s="68"/>
      <c r="E15" s="68"/>
      <c r="F15" s="69"/>
      <c r="G15" s="67" t="s">
        <v>310</v>
      </c>
      <c r="H15" s="42"/>
      <c r="I15" s="42"/>
      <c r="J15" s="43"/>
      <c r="K15" s="46">
        <v>50</v>
      </c>
      <c r="L15" s="47"/>
      <c r="M15" s="47"/>
      <c r="N15" s="48"/>
      <c r="O15" s="46" t="s">
        <v>229</v>
      </c>
      <c r="P15" s="47"/>
      <c r="Q15" s="48"/>
      <c r="R15" s="46"/>
      <c r="S15" s="48"/>
      <c r="T15" s="46"/>
      <c r="U15" s="48"/>
      <c r="V15" s="46"/>
      <c r="W15" s="48"/>
      <c r="X15" s="50"/>
      <c r="Y15" s="51"/>
    </row>
    <row r="16" spans="1:25" ht="48" customHeight="1" thickBot="1" x14ac:dyDescent="0.3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1:25" ht="54" customHeight="1" thickTop="1" x14ac:dyDescent="0.25">
      <c r="A17" s="20">
        <f>'Invetario de Tablas'!A6</f>
        <v>3</v>
      </c>
      <c r="B17" s="29" t="s">
        <v>28</v>
      </c>
      <c r="C17" s="54" t="str">
        <f>'Invetario de Tablas'!B6</f>
        <v>producto</v>
      </c>
      <c r="D17" s="55"/>
      <c r="E17" s="55"/>
      <c r="F17" s="56"/>
      <c r="G17" s="57" t="s">
        <v>29</v>
      </c>
      <c r="H17" s="58"/>
      <c r="I17" s="58"/>
      <c r="J17" s="59"/>
      <c r="K17" s="60" t="str">
        <f>'Invetario de Tablas'!C6</f>
        <v>Productos derivados de la apicultura.</v>
      </c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2"/>
      <c r="X17" s="21" t="s">
        <v>32</v>
      </c>
      <c r="Y17" s="22"/>
    </row>
    <row r="18" spans="1:25" ht="60" customHeight="1" x14ac:dyDescent="0.25">
      <c r="A18" s="23" t="s">
        <v>1</v>
      </c>
      <c r="B18" s="24" t="s">
        <v>33</v>
      </c>
      <c r="C18" s="52" t="s">
        <v>34</v>
      </c>
      <c r="D18" s="64"/>
      <c r="E18" s="64"/>
      <c r="F18" s="65"/>
      <c r="G18" s="52" t="s">
        <v>43</v>
      </c>
      <c r="H18" s="64"/>
      <c r="I18" s="64"/>
      <c r="J18" s="65"/>
      <c r="K18" s="52" t="s">
        <v>36</v>
      </c>
      <c r="L18" s="64"/>
      <c r="M18" s="64"/>
      <c r="N18" s="65"/>
      <c r="O18" s="52" t="s">
        <v>37</v>
      </c>
      <c r="P18" s="64"/>
      <c r="Q18" s="65"/>
      <c r="R18" s="52" t="s">
        <v>38</v>
      </c>
      <c r="S18" s="65"/>
      <c r="T18" s="52" t="s">
        <v>39</v>
      </c>
      <c r="U18" s="65"/>
      <c r="V18" s="52" t="s">
        <v>40</v>
      </c>
      <c r="W18" s="65"/>
      <c r="X18" s="52" t="s">
        <v>41</v>
      </c>
      <c r="Y18" s="53"/>
    </row>
    <row r="19" spans="1:25" ht="30" customHeight="1" x14ac:dyDescent="0.25">
      <c r="A19" s="26">
        <v>1</v>
      </c>
      <c r="B19" s="34" t="s">
        <v>159</v>
      </c>
      <c r="C19" s="67" t="s">
        <v>161</v>
      </c>
      <c r="D19" s="68"/>
      <c r="E19" s="68"/>
      <c r="F19" s="69"/>
      <c r="G19" s="67" t="s">
        <v>309</v>
      </c>
      <c r="H19" s="42"/>
      <c r="I19" s="42"/>
      <c r="J19" s="43"/>
      <c r="K19" s="46">
        <v>11</v>
      </c>
      <c r="L19" s="47"/>
      <c r="M19" s="47"/>
      <c r="N19" s="48"/>
      <c r="O19" s="46" t="s">
        <v>229</v>
      </c>
      <c r="P19" s="47"/>
      <c r="Q19" s="48"/>
      <c r="R19" s="49" t="s">
        <v>230</v>
      </c>
      <c r="S19" s="48"/>
      <c r="T19" s="46"/>
      <c r="U19" s="48"/>
      <c r="V19" s="46"/>
      <c r="W19" s="48"/>
      <c r="X19" s="50"/>
      <c r="Y19" s="51"/>
    </row>
    <row r="20" spans="1:25" ht="30" customHeight="1" x14ac:dyDescent="0.25">
      <c r="A20" s="26">
        <v>2</v>
      </c>
      <c r="B20" s="34" t="s">
        <v>160</v>
      </c>
      <c r="C20" s="67" t="s">
        <v>162</v>
      </c>
      <c r="D20" s="68"/>
      <c r="E20" s="68"/>
      <c r="F20" s="69"/>
      <c r="G20" s="67" t="s">
        <v>310</v>
      </c>
      <c r="H20" s="68"/>
      <c r="I20" s="68"/>
      <c r="J20" s="69"/>
      <c r="K20" s="46">
        <v>50</v>
      </c>
      <c r="L20" s="47"/>
      <c r="M20" s="47"/>
      <c r="N20" s="48"/>
      <c r="O20" s="46" t="s">
        <v>229</v>
      </c>
      <c r="P20" s="47"/>
      <c r="Q20" s="48"/>
      <c r="R20" s="46"/>
      <c r="S20" s="48"/>
      <c r="T20" s="46"/>
      <c r="U20" s="48"/>
      <c r="V20" s="46"/>
      <c r="W20" s="48"/>
      <c r="X20" s="50"/>
      <c r="Y20" s="51"/>
    </row>
    <row r="21" spans="1:25" ht="30" customHeight="1" x14ac:dyDescent="0.25">
      <c r="A21" s="26">
        <v>3</v>
      </c>
      <c r="B21" s="34" t="s">
        <v>147</v>
      </c>
      <c r="C21" s="67" t="s">
        <v>317</v>
      </c>
      <c r="D21" s="68"/>
      <c r="E21" s="68"/>
      <c r="F21" s="69"/>
      <c r="G21" s="67" t="s">
        <v>62</v>
      </c>
      <c r="H21" s="68"/>
      <c r="I21" s="68"/>
      <c r="J21" s="69"/>
      <c r="K21" s="46"/>
      <c r="L21" s="47"/>
      <c r="M21" s="47"/>
      <c r="N21" s="48"/>
      <c r="O21" s="46" t="s">
        <v>231</v>
      </c>
      <c r="P21" s="47"/>
      <c r="Q21" s="48"/>
      <c r="R21" s="46"/>
      <c r="S21" s="48"/>
      <c r="T21" s="46"/>
      <c r="U21" s="48"/>
      <c r="V21" s="46"/>
      <c r="W21" s="48"/>
      <c r="X21" s="50"/>
      <c r="Y21" s="51"/>
    </row>
    <row r="22" spans="1:25" ht="15.75" customHeight="1" thickBot="1" x14ac:dyDescent="0.3"/>
    <row r="23" spans="1:25" ht="54" customHeight="1" thickTop="1" x14ac:dyDescent="0.25">
      <c r="A23" s="20">
        <f>'Invetario de Tablas'!A7</f>
        <v>4</v>
      </c>
      <c r="B23" s="29" t="s">
        <v>28</v>
      </c>
      <c r="C23" s="54" t="str">
        <f>'Invetario de Tablas'!B7</f>
        <v>cosecha</v>
      </c>
      <c r="D23" s="55"/>
      <c r="E23" s="55"/>
      <c r="F23" s="56"/>
      <c r="G23" s="57" t="s">
        <v>29</v>
      </c>
      <c r="H23" s="58"/>
      <c r="I23" s="58"/>
      <c r="J23" s="59"/>
      <c r="K23" s="60" t="str">
        <f>'Invetario de Tablas'!C7</f>
        <v>Temporada o fecha donde se obtiene la producción.</v>
      </c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2"/>
      <c r="X23" s="21" t="s">
        <v>32</v>
      </c>
      <c r="Y23" s="22"/>
    </row>
    <row r="24" spans="1:25" ht="60" customHeight="1" x14ac:dyDescent="0.25">
      <c r="A24" s="23" t="s">
        <v>1</v>
      </c>
      <c r="B24" s="24" t="s">
        <v>33</v>
      </c>
      <c r="C24" s="52" t="s">
        <v>34</v>
      </c>
      <c r="D24" s="64"/>
      <c r="E24" s="64"/>
      <c r="F24" s="65"/>
      <c r="G24" s="52" t="s">
        <v>43</v>
      </c>
      <c r="H24" s="64"/>
      <c r="I24" s="64"/>
      <c r="J24" s="65"/>
      <c r="K24" s="52" t="s">
        <v>36</v>
      </c>
      <c r="L24" s="64"/>
      <c r="M24" s="64"/>
      <c r="N24" s="65"/>
      <c r="O24" s="52" t="s">
        <v>37</v>
      </c>
      <c r="P24" s="64"/>
      <c r="Q24" s="65"/>
      <c r="R24" s="52" t="s">
        <v>38</v>
      </c>
      <c r="S24" s="65"/>
      <c r="T24" s="52" t="s">
        <v>39</v>
      </c>
      <c r="U24" s="65"/>
      <c r="V24" s="52" t="s">
        <v>40</v>
      </c>
      <c r="W24" s="65"/>
      <c r="X24" s="52" t="s">
        <v>41</v>
      </c>
      <c r="Y24" s="53"/>
    </row>
    <row r="25" spans="1:25" ht="30" customHeight="1" x14ac:dyDescent="0.25">
      <c r="A25" s="26">
        <v>1</v>
      </c>
      <c r="B25" s="34" t="s">
        <v>163</v>
      </c>
      <c r="C25" s="67" t="s">
        <v>167</v>
      </c>
      <c r="D25" s="68"/>
      <c r="E25" s="68"/>
      <c r="F25" s="69"/>
      <c r="G25" s="67" t="s">
        <v>309</v>
      </c>
      <c r="H25" s="42"/>
      <c r="I25" s="42"/>
      <c r="J25" s="43"/>
      <c r="K25" s="46">
        <v>11</v>
      </c>
      <c r="L25" s="47"/>
      <c r="M25" s="47"/>
      <c r="N25" s="48"/>
      <c r="O25" s="46" t="s">
        <v>229</v>
      </c>
      <c r="P25" s="47"/>
      <c r="Q25" s="48"/>
      <c r="R25" s="49" t="s">
        <v>230</v>
      </c>
      <c r="S25" s="48"/>
      <c r="T25" s="46"/>
      <c r="U25" s="48"/>
      <c r="V25" s="46"/>
      <c r="W25" s="48"/>
      <c r="X25" s="50"/>
      <c r="Y25" s="51"/>
    </row>
    <row r="26" spans="1:25" ht="30" customHeight="1" x14ac:dyDescent="0.25">
      <c r="A26" s="26">
        <v>2</v>
      </c>
      <c r="B26" s="34" t="s">
        <v>155</v>
      </c>
      <c r="C26" s="67" t="s">
        <v>166</v>
      </c>
      <c r="D26" s="68"/>
      <c r="E26" s="68"/>
      <c r="F26" s="69"/>
      <c r="G26" s="67" t="s">
        <v>55</v>
      </c>
      <c r="H26" s="68"/>
      <c r="I26" s="68"/>
      <c r="J26" s="69"/>
      <c r="K26" s="46">
        <v>11</v>
      </c>
      <c r="L26" s="47"/>
      <c r="M26" s="47"/>
      <c r="N26" s="48"/>
      <c r="O26" s="46" t="s">
        <v>229</v>
      </c>
      <c r="P26" s="47"/>
      <c r="Q26" s="48"/>
      <c r="R26" s="46"/>
      <c r="S26" s="48"/>
      <c r="T26" s="49" t="s">
        <v>230</v>
      </c>
      <c r="U26" s="48"/>
      <c r="V26" s="46"/>
      <c r="W26" s="48"/>
      <c r="X26" s="50"/>
      <c r="Y26" s="51"/>
    </row>
    <row r="27" spans="1:25" ht="30" customHeight="1" x14ac:dyDescent="0.25">
      <c r="A27" s="26">
        <v>3</v>
      </c>
      <c r="B27" s="34" t="s">
        <v>164</v>
      </c>
      <c r="C27" s="67" t="s">
        <v>165</v>
      </c>
      <c r="D27" s="68"/>
      <c r="E27" s="68"/>
      <c r="F27" s="69"/>
      <c r="G27" s="67" t="s">
        <v>66</v>
      </c>
      <c r="H27" s="68"/>
      <c r="I27" s="68"/>
      <c r="J27" s="69"/>
      <c r="K27" s="46"/>
      <c r="L27" s="47"/>
      <c r="M27" s="47"/>
      <c r="N27" s="48"/>
      <c r="O27" s="46" t="s">
        <v>229</v>
      </c>
      <c r="P27" s="47"/>
      <c r="Q27" s="48"/>
      <c r="R27" s="46"/>
      <c r="S27" s="48"/>
      <c r="T27" s="46"/>
      <c r="U27" s="48"/>
      <c r="V27" s="46"/>
      <c r="W27" s="48"/>
      <c r="X27" s="50"/>
      <c r="Y27" s="51"/>
    </row>
    <row r="28" spans="1:25" ht="48" customHeight="1" thickBot="1" x14ac:dyDescent="0.3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54" customHeight="1" thickTop="1" x14ac:dyDescent="0.25">
      <c r="A29" s="20">
        <f>'Invetario de Tablas'!A8</f>
        <v>5</v>
      </c>
      <c r="B29" s="29" t="s">
        <v>28</v>
      </c>
      <c r="C29" s="54" t="str">
        <f>'Invetario de Tablas'!B8</f>
        <v>pedido</v>
      </c>
      <c r="D29" s="55"/>
      <c r="E29" s="55"/>
      <c r="F29" s="56"/>
      <c r="G29" s="57" t="s">
        <v>29</v>
      </c>
      <c r="H29" s="58"/>
      <c r="I29" s="58"/>
      <c r="J29" s="59"/>
      <c r="K29" s="60" t="str">
        <f>'Invetario de Tablas'!C8</f>
        <v>Solicitud realizada por un consumidor.</v>
      </c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2"/>
      <c r="X29" s="21" t="s">
        <v>32</v>
      </c>
      <c r="Y29" s="22"/>
    </row>
    <row r="30" spans="1:25" ht="60" customHeight="1" x14ac:dyDescent="0.25">
      <c r="A30" s="23" t="s">
        <v>1</v>
      </c>
      <c r="B30" s="24" t="s">
        <v>33</v>
      </c>
      <c r="C30" s="52" t="s">
        <v>34</v>
      </c>
      <c r="D30" s="64"/>
      <c r="E30" s="64"/>
      <c r="F30" s="65"/>
      <c r="G30" s="52" t="s">
        <v>43</v>
      </c>
      <c r="H30" s="64"/>
      <c r="I30" s="64"/>
      <c r="J30" s="65"/>
      <c r="K30" s="52" t="s">
        <v>36</v>
      </c>
      <c r="L30" s="64"/>
      <c r="M30" s="64"/>
      <c r="N30" s="65"/>
      <c r="O30" s="52" t="s">
        <v>37</v>
      </c>
      <c r="P30" s="64"/>
      <c r="Q30" s="65"/>
      <c r="R30" s="52" t="s">
        <v>38</v>
      </c>
      <c r="S30" s="65"/>
      <c r="T30" s="52" t="s">
        <v>39</v>
      </c>
      <c r="U30" s="65"/>
      <c r="V30" s="52" t="s">
        <v>40</v>
      </c>
      <c r="W30" s="65"/>
      <c r="X30" s="52" t="s">
        <v>41</v>
      </c>
      <c r="Y30" s="53"/>
    </row>
    <row r="31" spans="1:25" ht="30" customHeight="1" x14ac:dyDescent="0.25">
      <c r="A31" s="35">
        <v>1</v>
      </c>
      <c r="B31" s="36" t="s">
        <v>168</v>
      </c>
      <c r="C31" s="46" t="s">
        <v>169</v>
      </c>
      <c r="D31" s="47"/>
      <c r="E31" s="47"/>
      <c r="F31" s="48"/>
      <c r="G31" s="67" t="s">
        <v>309</v>
      </c>
      <c r="H31" s="42"/>
      <c r="I31" s="42"/>
      <c r="J31" s="43"/>
      <c r="K31" s="46">
        <v>11</v>
      </c>
      <c r="L31" s="47"/>
      <c r="M31" s="47"/>
      <c r="N31" s="48"/>
      <c r="O31" s="46" t="s">
        <v>229</v>
      </c>
      <c r="P31" s="47"/>
      <c r="Q31" s="48"/>
      <c r="R31" s="49" t="s">
        <v>230</v>
      </c>
      <c r="S31" s="48"/>
      <c r="T31" s="46"/>
      <c r="U31" s="48"/>
      <c r="V31" s="49" t="s">
        <v>230</v>
      </c>
      <c r="W31" s="48"/>
      <c r="X31" s="50"/>
      <c r="Y31" s="51"/>
    </row>
    <row r="32" spans="1:25" ht="30" customHeight="1" x14ac:dyDescent="0.25">
      <c r="A32" s="35">
        <v>2</v>
      </c>
      <c r="B32" s="36" t="s">
        <v>170</v>
      </c>
      <c r="C32" s="46" t="s">
        <v>171</v>
      </c>
      <c r="D32" s="47"/>
      <c r="E32" s="47"/>
      <c r="F32" s="48"/>
      <c r="G32" s="67" t="s">
        <v>55</v>
      </c>
      <c r="H32" s="68"/>
      <c r="I32" s="68"/>
      <c r="J32" s="69"/>
      <c r="K32" s="46">
        <v>11</v>
      </c>
      <c r="L32" s="47"/>
      <c r="M32" s="47"/>
      <c r="N32" s="48"/>
      <c r="O32" s="46" t="s">
        <v>229</v>
      </c>
      <c r="P32" s="47"/>
      <c r="Q32" s="48"/>
      <c r="R32" s="46"/>
      <c r="S32" s="48"/>
      <c r="T32" s="49" t="s">
        <v>230</v>
      </c>
      <c r="U32" s="48"/>
      <c r="V32" s="46"/>
      <c r="W32" s="48"/>
      <c r="X32" s="50"/>
      <c r="Y32" s="51"/>
    </row>
    <row r="33" spans="1:25" ht="30" customHeight="1" x14ac:dyDescent="0.25">
      <c r="A33" s="35">
        <v>3</v>
      </c>
      <c r="B33" s="36" t="s">
        <v>164</v>
      </c>
      <c r="C33" s="46" t="s">
        <v>172</v>
      </c>
      <c r="D33" s="47"/>
      <c r="E33" s="47"/>
      <c r="F33" s="48"/>
      <c r="G33" s="67" t="s">
        <v>66</v>
      </c>
      <c r="H33" s="68"/>
      <c r="I33" s="68"/>
      <c r="J33" s="69"/>
      <c r="K33" s="46"/>
      <c r="L33" s="47"/>
      <c r="M33" s="47"/>
      <c r="N33" s="48"/>
      <c r="O33" s="46" t="s">
        <v>229</v>
      </c>
      <c r="P33" s="47"/>
      <c r="Q33" s="48"/>
      <c r="R33" s="46"/>
      <c r="S33" s="48"/>
      <c r="T33" s="46"/>
      <c r="U33" s="48"/>
      <c r="V33" s="46"/>
      <c r="W33" s="48"/>
      <c r="X33" s="50"/>
      <c r="Y33" s="51"/>
    </row>
    <row r="34" spans="1:25" ht="48" customHeight="1" thickBot="1" x14ac:dyDescent="0.3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54" customHeight="1" thickTop="1" x14ac:dyDescent="0.25">
      <c r="A35" s="20">
        <f>'Invetario de Tablas'!A9</f>
        <v>6</v>
      </c>
      <c r="B35" s="29" t="s">
        <v>28</v>
      </c>
      <c r="C35" s="54" t="str">
        <f>'Invetario de Tablas'!B9</f>
        <v>detalle_pedido</v>
      </c>
      <c r="D35" s="55"/>
      <c r="E35" s="55"/>
      <c r="F35" s="56"/>
      <c r="G35" s="57" t="s">
        <v>29</v>
      </c>
      <c r="H35" s="58"/>
      <c r="I35" s="58"/>
      <c r="J35" s="59"/>
      <c r="K35" s="60" t="str">
        <f>'Invetario de Tablas'!C9</f>
        <v>Información específica de cada producto solicitado.</v>
      </c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2"/>
      <c r="X35" s="21" t="s">
        <v>32</v>
      </c>
      <c r="Y35" s="22"/>
    </row>
    <row r="36" spans="1:25" ht="60" customHeight="1" x14ac:dyDescent="0.25">
      <c r="A36" s="23" t="s">
        <v>1</v>
      </c>
      <c r="B36" s="24" t="s">
        <v>33</v>
      </c>
      <c r="C36" s="52" t="s">
        <v>34</v>
      </c>
      <c r="D36" s="64"/>
      <c r="E36" s="64"/>
      <c r="F36" s="65"/>
      <c r="G36" s="52" t="s">
        <v>43</v>
      </c>
      <c r="H36" s="64"/>
      <c r="I36" s="64"/>
      <c r="J36" s="65"/>
      <c r="K36" s="52" t="s">
        <v>36</v>
      </c>
      <c r="L36" s="64"/>
      <c r="M36" s="64"/>
      <c r="N36" s="65"/>
      <c r="O36" s="52" t="s">
        <v>37</v>
      </c>
      <c r="P36" s="64"/>
      <c r="Q36" s="65"/>
      <c r="R36" s="52" t="s">
        <v>38</v>
      </c>
      <c r="S36" s="65"/>
      <c r="T36" s="52" t="s">
        <v>39</v>
      </c>
      <c r="U36" s="65"/>
      <c r="V36" s="52" t="s">
        <v>40</v>
      </c>
      <c r="W36" s="65"/>
      <c r="X36" s="52" t="s">
        <v>41</v>
      </c>
      <c r="Y36" s="53"/>
    </row>
    <row r="37" spans="1:25" ht="30" customHeight="1" x14ac:dyDescent="0.25">
      <c r="A37" s="35">
        <v>1</v>
      </c>
      <c r="B37" s="36" t="s">
        <v>168</v>
      </c>
      <c r="C37" s="46" t="s">
        <v>173</v>
      </c>
      <c r="D37" s="47"/>
      <c r="E37" s="47"/>
      <c r="F37" s="48"/>
      <c r="G37" s="67" t="s">
        <v>55</v>
      </c>
      <c r="H37" s="68"/>
      <c r="I37" s="68"/>
      <c r="J37" s="69"/>
      <c r="K37" s="46">
        <v>11</v>
      </c>
      <c r="L37" s="47"/>
      <c r="M37" s="47"/>
      <c r="N37" s="48"/>
      <c r="O37" s="46" t="s">
        <v>229</v>
      </c>
      <c r="P37" s="47"/>
      <c r="Q37" s="48"/>
      <c r="R37" s="49" t="s">
        <v>230</v>
      </c>
      <c r="S37" s="48"/>
      <c r="T37" s="49" t="s">
        <v>230</v>
      </c>
      <c r="U37" s="48"/>
      <c r="V37" s="46"/>
      <c r="W37" s="48"/>
      <c r="X37" s="50"/>
      <c r="Y37" s="51"/>
    </row>
    <row r="38" spans="1:25" ht="30" customHeight="1" x14ac:dyDescent="0.25">
      <c r="A38" s="35">
        <v>2</v>
      </c>
      <c r="B38" s="36" t="s">
        <v>174</v>
      </c>
      <c r="C38" s="46" t="s">
        <v>175</v>
      </c>
      <c r="D38" s="47"/>
      <c r="E38" s="47"/>
      <c r="F38" s="48"/>
      <c r="G38" s="67" t="s">
        <v>55</v>
      </c>
      <c r="H38" s="68"/>
      <c r="I38" s="68"/>
      <c r="J38" s="69"/>
      <c r="K38" s="46">
        <v>11</v>
      </c>
      <c r="L38" s="47"/>
      <c r="M38" s="47"/>
      <c r="N38" s="48"/>
      <c r="O38" s="46" t="s">
        <v>229</v>
      </c>
      <c r="P38" s="47"/>
      <c r="Q38" s="48"/>
      <c r="R38" s="49" t="s">
        <v>230</v>
      </c>
      <c r="S38" s="48"/>
      <c r="T38" s="49" t="s">
        <v>230</v>
      </c>
      <c r="U38" s="48"/>
      <c r="V38" s="46"/>
      <c r="W38" s="48"/>
      <c r="X38" s="50"/>
      <c r="Y38" s="51"/>
    </row>
    <row r="39" spans="1:25" ht="30" customHeight="1" x14ac:dyDescent="0.25">
      <c r="A39" s="35">
        <v>3</v>
      </c>
      <c r="B39" s="36" t="s">
        <v>176</v>
      </c>
      <c r="C39" s="46" t="s">
        <v>177</v>
      </c>
      <c r="D39" s="47"/>
      <c r="E39" s="47"/>
      <c r="F39" s="48"/>
      <c r="G39" s="67" t="s">
        <v>55</v>
      </c>
      <c r="H39" s="68"/>
      <c r="I39" s="68"/>
      <c r="J39" s="69"/>
      <c r="K39" s="46">
        <v>11</v>
      </c>
      <c r="L39" s="47"/>
      <c r="M39" s="47"/>
      <c r="N39" s="48"/>
      <c r="O39" s="46" t="s">
        <v>229</v>
      </c>
      <c r="P39" s="47"/>
      <c r="Q39" s="48"/>
      <c r="R39" s="46"/>
      <c r="S39" s="48"/>
      <c r="T39" s="46"/>
      <c r="U39" s="48"/>
      <c r="V39" s="46"/>
      <c r="W39" s="48"/>
      <c r="X39" s="50"/>
      <c r="Y39" s="51"/>
    </row>
    <row r="40" spans="1:25" ht="48" customHeight="1" thickBot="1" x14ac:dyDescent="0.3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spans="1:25" ht="54" customHeight="1" thickTop="1" x14ac:dyDescent="0.25">
      <c r="A41" s="20">
        <f>'Invetario de Tablas'!A10</f>
        <v>7</v>
      </c>
      <c r="B41" s="29" t="s">
        <v>28</v>
      </c>
      <c r="C41" s="54" t="str">
        <f>'Invetario de Tablas'!B10</f>
        <v>sensor</v>
      </c>
      <c r="D41" s="55"/>
      <c r="E41" s="55"/>
      <c r="F41" s="56"/>
      <c r="G41" s="57" t="s">
        <v>29</v>
      </c>
      <c r="H41" s="58"/>
      <c r="I41" s="58"/>
      <c r="J41" s="59"/>
      <c r="K41" s="60" t="str">
        <f>'Invetario de Tablas'!C10</f>
        <v>Sensores que registran variables ambientales.</v>
      </c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2"/>
      <c r="X41" s="21" t="s">
        <v>32</v>
      </c>
      <c r="Y41" s="22"/>
    </row>
    <row r="42" spans="1:25" ht="60" customHeight="1" x14ac:dyDescent="0.25">
      <c r="A42" s="23" t="s">
        <v>1</v>
      </c>
      <c r="B42" s="24" t="s">
        <v>33</v>
      </c>
      <c r="C42" s="52" t="s">
        <v>34</v>
      </c>
      <c r="D42" s="64"/>
      <c r="E42" s="64"/>
      <c r="F42" s="65"/>
      <c r="G42" s="52" t="s">
        <v>43</v>
      </c>
      <c r="H42" s="64"/>
      <c r="I42" s="64"/>
      <c r="J42" s="65"/>
      <c r="K42" s="52" t="s">
        <v>36</v>
      </c>
      <c r="L42" s="64"/>
      <c r="M42" s="64"/>
      <c r="N42" s="65"/>
      <c r="O42" s="52" t="s">
        <v>37</v>
      </c>
      <c r="P42" s="64"/>
      <c r="Q42" s="65"/>
      <c r="R42" s="52" t="s">
        <v>38</v>
      </c>
      <c r="S42" s="65"/>
      <c r="T42" s="52" t="s">
        <v>39</v>
      </c>
      <c r="U42" s="65"/>
      <c r="V42" s="52" t="s">
        <v>40</v>
      </c>
      <c r="W42" s="65"/>
      <c r="X42" s="52" t="s">
        <v>41</v>
      </c>
      <c r="Y42" s="53"/>
    </row>
    <row r="43" spans="1:25" ht="30" customHeight="1" x14ac:dyDescent="0.25">
      <c r="A43" s="35">
        <v>1</v>
      </c>
      <c r="B43" s="36" t="s">
        <v>178</v>
      </c>
      <c r="C43" s="46" t="s">
        <v>179</v>
      </c>
      <c r="D43" s="47"/>
      <c r="E43" s="47"/>
      <c r="F43" s="48"/>
      <c r="G43" s="67" t="s">
        <v>309</v>
      </c>
      <c r="H43" s="42"/>
      <c r="I43" s="42"/>
      <c r="J43" s="43"/>
      <c r="K43" s="46">
        <v>11</v>
      </c>
      <c r="L43" s="47"/>
      <c r="M43" s="47"/>
      <c r="N43" s="48"/>
      <c r="O43" s="46" t="s">
        <v>229</v>
      </c>
      <c r="P43" s="47"/>
      <c r="Q43" s="48"/>
      <c r="R43" s="49" t="s">
        <v>230</v>
      </c>
      <c r="S43" s="48"/>
      <c r="T43" s="46"/>
      <c r="U43" s="48"/>
      <c r="V43" s="49" t="s">
        <v>230</v>
      </c>
      <c r="W43" s="48"/>
      <c r="X43" s="50"/>
      <c r="Y43" s="51"/>
    </row>
    <row r="44" spans="1:25" ht="30" customHeight="1" x14ac:dyDescent="0.25">
      <c r="A44" s="35">
        <v>2</v>
      </c>
      <c r="B44" s="36" t="s">
        <v>180</v>
      </c>
      <c r="C44" s="46" t="s">
        <v>181</v>
      </c>
      <c r="D44" s="47"/>
      <c r="E44" s="47"/>
      <c r="F44" s="48"/>
      <c r="G44" s="67" t="s">
        <v>310</v>
      </c>
      <c r="H44" s="68"/>
      <c r="I44" s="68"/>
      <c r="J44" s="69"/>
      <c r="K44" s="46">
        <v>50</v>
      </c>
      <c r="L44" s="47"/>
      <c r="M44" s="47"/>
      <c r="N44" s="48"/>
      <c r="O44" s="46" t="s">
        <v>229</v>
      </c>
      <c r="P44" s="47"/>
      <c r="Q44" s="48"/>
      <c r="R44" s="46"/>
      <c r="S44" s="48"/>
      <c r="T44" s="46"/>
      <c r="U44" s="48"/>
      <c r="V44" s="46"/>
      <c r="W44" s="48"/>
      <c r="X44" s="50"/>
      <c r="Y44" s="51"/>
    </row>
    <row r="45" spans="1:25" ht="48" customHeight="1" thickBot="1" x14ac:dyDescent="0.3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54" customHeight="1" thickTop="1" x14ac:dyDescent="0.25">
      <c r="A46" s="20">
        <f>'Invetario de Tablas'!A11</f>
        <v>8</v>
      </c>
      <c r="B46" s="29" t="s">
        <v>28</v>
      </c>
      <c r="C46" s="54" t="str">
        <f>'Invetario de Tablas'!B11</f>
        <v>medicion_ambiental</v>
      </c>
      <c r="D46" s="55"/>
      <c r="E46" s="55"/>
      <c r="F46" s="56"/>
      <c r="G46" s="57" t="s">
        <v>29</v>
      </c>
      <c r="H46" s="58"/>
      <c r="I46" s="58"/>
      <c r="J46" s="59"/>
      <c r="K46" s="60" t="str">
        <f>'Invetario de Tablas'!C11</f>
        <v>Registro de datos ambientales.</v>
      </c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2"/>
      <c r="X46" s="21" t="s">
        <v>32</v>
      </c>
      <c r="Y46" s="22"/>
    </row>
    <row r="47" spans="1:25" ht="60" customHeight="1" x14ac:dyDescent="0.25">
      <c r="A47" s="23" t="s">
        <v>1</v>
      </c>
      <c r="B47" s="24" t="s">
        <v>33</v>
      </c>
      <c r="C47" s="52" t="s">
        <v>34</v>
      </c>
      <c r="D47" s="64"/>
      <c r="E47" s="64"/>
      <c r="F47" s="65"/>
      <c r="G47" s="52" t="s">
        <v>43</v>
      </c>
      <c r="H47" s="64"/>
      <c r="I47" s="64"/>
      <c r="J47" s="65"/>
      <c r="K47" s="52" t="s">
        <v>36</v>
      </c>
      <c r="L47" s="64"/>
      <c r="M47" s="64"/>
      <c r="N47" s="65"/>
      <c r="O47" s="52" t="s">
        <v>37</v>
      </c>
      <c r="P47" s="64"/>
      <c r="Q47" s="65"/>
      <c r="R47" s="52" t="s">
        <v>38</v>
      </c>
      <c r="S47" s="65"/>
      <c r="T47" s="52" t="s">
        <v>39</v>
      </c>
      <c r="U47" s="65"/>
      <c r="V47" s="52" t="s">
        <v>40</v>
      </c>
      <c r="W47" s="65"/>
      <c r="X47" s="52" t="s">
        <v>41</v>
      </c>
      <c r="Y47" s="53"/>
    </row>
    <row r="48" spans="1:25" ht="30" customHeight="1" x14ac:dyDescent="0.25">
      <c r="A48" s="35">
        <v>1</v>
      </c>
      <c r="B48" s="36" t="s">
        <v>182</v>
      </c>
      <c r="C48" s="46" t="s">
        <v>183</v>
      </c>
      <c r="D48" s="47"/>
      <c r="E48" s="47"/>
      <c r="F48" s="48"/>
      <c r="G48" s="67" t="s">
        <v>309</v>
      </c>
      <c r="H48" s="42"/>
      <c r="I48" s="42"/>
      <c r="J48" s="43"/>
      <c r="K48" s="46">
        <v>11</v>
      </c>
      <c r="L48" s="47"/>
      <c r="M48" s="47"/>
      <c r="N48" s="48"/>
      <c r="O48" s="46" t="s">
        <v>229</v>
      </c>
      <c r="P48" s="47"/>
      <c r="Q48" s="48"/>
      <c r="R48" s="49" t="s">
        <v>230</v>
      </c>
      <c r="S48" s="48"/>
      <c r="T48" s="46"/>
      <c r="U48" s="48"/>
      <c r="V48" s="49" t="s">
        <v>230</v>
      </c>
      <c r="W48" s="48"/>
      <c r="X48" s="50"/>
      <c r="Y48" s="51"/>
    </row>
    <row r="49" spans="1:25" ht="30" customHeight="1" x14ac:dyDescent="0.25">
      <c r="A49" s="35">
        <v>2</v>
      </c>
      <c r="B49" s="36" t="s">
        <v>178</v>
      </c>
      <c r="C49" s="46" t="s">
        <v>184</v>
      </c>
      <c r="D49" s="47"/>
      <c r="E49" s="47"/>
      <c r="F49" s="48"/>
      <c r="G49" s="67" t="s">
        <v>55</v>
      </c>
      <c r="H49" s="68"/>
      <c r="I49" s="68"/>
      <c r="J49" s="69"/>
      <c r="K49" s="46">
        <v>11</v>
      </c>
      <c r="L49" s="47"/>
      <c r="M49" s="47"/>
      <c r="N49" s="48"/>
      <c r="O49" s="46" t="s">
        <v>229</v>
      </c>
      <c r="P49" s="47"/>
      <c r="Q49" s="48"/>
      <c r="R49" s="46"/>
      <c r="S49" s="48"/>
      <c r="T49" s="49" t="s">
        <v>230</v>
      </c>
      <c r="U49" s="48"/>
      <c r="V49" s="46"/>
      <c r="W49" s="48"/>
      <c r="X49" s="50"/>
      <c r="Y49" s="51"/>
    </row>
    <row r="50" spans="1:25" ht="30" customHeight="1" x14ac:dyDescent="0.25">
      <c r="A50" s="35">
        <v>3</v>
      </c>
      <c r="B50" s="36" t="s">
        <v>185</v>
      </c>
      <c r="C50" s="46" t="s">
        <v>186</v>
      </c>
      <c r="D50" s="47"/>
      <c r="E50" s="47"/>
      <c r="F50" s="48"/>
      <c r="G50" s="67" t="s">
        <v>11</v>
      </c>
      <c r="H50" s="68"/>
      <c r="I50" s="68"/>
      <c r="J50" s="69"/>
      <c r="K50" s="46" t="s">
        <v>313</v>
      </c>
      <c r="L50" s="47"/>
      <c r="M50" s="47"/>
      <c r="N50" s="48"/>
      <c r="O50" s="46" t="s">
        <v>229</v>
      </c>
      <c r="P50" s="47"/>
      <c r="Q50" s="48"/>
      <c r="R50" s="46"/>
      <c r="S50" s="48"/>
      <c r="T50" s="46"/>
      <c r="U50" s="48"/>
      <c r="V50" s="46"/>
      <c r="W50" s="48"/>
      <c r="X50" s="50"/>
      <c r="Y50" s="51"/>
    </row>
    <row r="51" spans="1:25" ht="30" customHeight="1" x14ac:dyDescent="0.25">
      <c r="A51" s="35">
        <v>4</v>
      </c>
      <c r="B51" s="36" t="s">
        <v>187</v>
      </c>
      <c r="C51" s="46" t="s">
        <v>188</v>
      </c>
      <c r="D51" s="47"/>
      <c r="E51" s="47"/>
      <c r="F51" s="48"/>
      <c r="G51" s="67" t="s">
        <v>11</v>
      </c>
      <c r="H51" s="68"/>
      <c r="I51" s="68"/>
      <c r="J51" s="69"/>
      <c r="K51" s="46" t="s">
        <v>313</v>
      </c>
      <c r="L51" s="47"/>
      <c r="M51" s="47"/>
      <c r="N51" s="48"/>
      <c r="O51" s="46" t="s">
        <v>229</v>
      </c>
      <c r="P51" s="47"/>
      <c r="Q51" s="48"/>
      <c r="R51" s="46"/>
      <c r="S51" s="48"/>
      <c r="T51" s="46"/>
      <c r="U51" s="48"/>
      <c r="V51" s="46"/>
      <c r="W51" s="48"/>
      <c r="X51" s="50"/>
      <c r="Y51" s="51"/>
    </row>
    <row r="52" spans="1:25" ht="30" customHeight="1" x14ac:dyDescent="0.25">
      <c r="A52" s="35">
        <v>5</v>
      </c>
      <c r="B52" s="36" t="s">
        <v>189</v>
      </c>
      <c r="C52" s="46" t="s">
        <v>190</v>
      </c>
      <c r="D52" s="47"/>
      <c r="E52" s="47"/>
      <c r="F52" s="48"/>
      <c r="G52" s="67" t="s">
        <v>308</v>
      </c>
      <c r="H52" s="68"/>
      <c r="I52" s="68"/>
      <c r="J52" s="69"/>
      <c r="K52" s="46"/>
      <c r="L52" s="47"/>
      <c r="M52" s="47"/>
      <c r="N52" s="48"/>
      <c r="O52" s="46" t="s">
        <v>229</v>
      </c>
      <c r="P52" s="47"/>
      <c r="Q52" s="48"/>
      <c r="R52" s="46"/>
      <c r="S52" s="48"/>
      <c r="T52" s="46"/>
      <c r="U52" s="48"/>
      <c r="V52" s="46"/>
      <c r="W52" s="48"/>
      <c r="X52" s="50"/>
      <c r="Y52" s="51"/>
    </row>
    <row r="53" spans="1:25" ht="48" customHeight="1" thickBot="1" x14ac:dyDescent="0.3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54" customHeight="1" thickTop="1" x14ac:dyDescent="0.25">
      <c r="A54" s="20">
        <f>'Invetario de Tablas'!A12</f>
        <v>9</v>
      </c>
      <c r="B54" s="29" t="s">
        <v>28</v>
      </c>
      <c r="C54" s="54" t="str">
        <f>'Invetario de Tablas'!B12</f>
        <v>alerta</v>
      </c>
      <c r="D54" s="55"/>
      <c r="E54" s="55"/>
      <c r="F54" s="56"/>
      <c r="G54" s="57" t="s">
        <v>29</v>
      </c>
      <c r="H54" s="58"/>
      <c r="I54" s="58"/>
      <c r="J54" s="59"/>
      <c r="K54" s="60" t="str">
        <f>'Invetario de Tablas'!C12</f>
        <v>Notificación generada por el sistema.</v>
      </c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2"/>
      <c r="X54" s="21" t="s">
        <v>32</v>
      </c>
      <c r="Y54" s="22"/>
    </row>
    <row r="55" spans="1:25" ht="60" customHeight="1" x14ac:dyDescent="0.25">
      <c r="A55" s="23" t="s">
        <v>1</v>
      </c>
      <c r="B55" s="24" t="s">
        <v>33</v>
      </c>
      <c r="C55" s="52" t="s">
        <v>34</v>
      </c>
      <c r="D55" s="64"/>
      <c r="E55" s="64"/>
      <c r="F55" s="65"/>
      <c r="G55" s="52" t="s">
        <v>43</v>
      </c>
      <c r="H55" s="64"/>
      <c r="I55" s="64"/>
      <c r="J55" s="65"/>
      <c r="K55" s="52" t="s">
        <v>36</v>
      </c>
      <c r="L55" s="64"/>
      <c r="M55" s="64"/>
      <c r="N55" s="65"/>
      <c r="O55" s="52" t="s">
        <v>37</v>
      </c>
      <c r="P55" s="64"/>
      <c r="Q55" s="65"/>
      <c r="R55" s="52" t="s">
        <v>38</v>
      </c>
      <c r="S55" s="65"/>
      <c r="T55" s="52" t="s">
        <v>39</v>
      </c>
      <c r="U55" s="65"/>
      <c r="V55" s="52" t="s">
        <v>40</v>
      </c>
      <c r="W55" s="65"/>
      <c r="X55" s="52" t="s">
        <v>41</v>
      </c>
      <c r="Y55" s="53"/>
    </row>
    <row r="56" spans="1:25" ht="30" customHeight="1" x14ac:dyDescent="0.25">
      <c r="A56" s="35">
        <v>1</v>
      </c>
      <c r="B56" s="36" t="s">
        <v>191</v>
      </c>
      <c r="C56" s="46" t="s">
        <v>192</v>
      </c>
      <c r="D56" s="47"/>
      <c r="E56" s="47"/>
      <c r="F56" s="48"/>
      <c r="G56" s="67" t="s">
        <v>309</v>
      </c>
      <c r="H56" s="42"/>
      <c r="I56" s="42"/>
      <c r="J56" s="43"/>
      <c r="K56" s="46">
        <v>11</v>
      </c>
      <c r="L56" s="47"/>
      <c r="M56" s="47"/>
      <c r="N56" s="48"/>
      <c r="O56" s="46" t="s">
        <v>229</v>
      </c>
      <c r="P56" s="47"/>
      <c r="Q56" s="48"/>
      <c r="R56" s="49" t="s">
        <v>230</v>
      </c>
      <c r="S56" s="48"/>
      <c r="T56" s="46"/>
      <c r="U56" s="48"/>
      <c r="V56" s="49" t="s">
        <v>230</v>
      </c>
      <c r="W56" s="48"/>
      <c r="X56" s="50"/>
      <c r="Y56" s="51"/>
    </row>
    <row r="57" spans="1:25" ht="30" customHeight="1" x14ac:dyDescent="0.25">
      <c r="A57" s="35">
        <v>2</v>
      </c>
      <c r="B57" s="36" t="s">
        <v>182</v>
      </c>
      <c r="C57" s="46" t="s">
        <v>193</v>
      </c>
      <c r="D57" s="47"/>
      <c r="E57" s="47"/>
      <c r="F57" s="48"/>
      <c r="G57" s="67" t="s">
        <v>55</v>
      </c>
      <c r="H57" s="68"/>
      <c r="I57" s="68"/>
      <c r="J57" s="69"/>
      <c r="K57" s="46">
        <v>11</v>
      </c>
      <c r="L57" s="47"/>
      <c r="M57" s="47"/>
      <c r="N57" s="48"/>
      <c r="O57" s="46" t="s">
        <v>229</v>
      </c>
      <c r="P57" s="47"/>
      <c r="Q57" s="48"/>
      <c r="R57" s="46"/>
      <c r="S57" s="48"/>
      <c r="T57" s="49" t="s">
        <v>230</v>
      </c>
      <c r="U57" s="48"/>
      <c r="V57" s="46"/>
      <c r="W57" s="48"/>
      <c r="X57" s="50"/>
      <c r="Y57" s="51"/>
    </row>
    <row r="58" spans="1:25" ht="30" customHeight="1" x14ac:dyDescent="0.25">
      <c r="A58" s="35">
        <v>3</v>
      </c>
      <c r="B58" s="36" t="s">
        <v>194</v>
      </c>
      <c r="C58" s="46" t="s">
        <v>195</v>
      </c>
      <c r="D58" s="47"/>
      <c r="E58" s="47"/>
      <c r="F58" s="48"/>
      <c r="G58" s="67" t="s">
        <v>19</v>
      </c>
      <c r="H58" s="68"/>
      <c r="I58" s="68"/>
      <c r="J58" s="69"/>
      <c r="K58" s="46"/>
      <c r="L58" s="47"/>
      <c r="M58" s="47"/>
      <c r="N58" s="48"/>
      <c r="O58" s="46" t="s">
        <v>229</v>
      </c>
      <c r="P58" s="47"/>
      <c r="Q58" s="48"/>
      <c r="R58" s="46"/>
      <c r="S58" s="48"/>
      <c r="T58" s="46"/>
      <c r="U58" s="48"/>
      <c r="V58" s="46"/>
      <c r="W58" s="48"/>
      <c r="X58" s="50" t="s">
        <v>311</v>
      </c>
      <c r="Y58" s="51"/>
    </row>
    <row r="59" spans="1:25" ht="30" customHeight="1" x14ac:dyDescent="0.25">
      <c r="A59" s="35">
        <v>4</v>
      </c>
      <c r="B59" s="36" t="s">
        <v>196</v>
      </c>
      <c r="C59" s="46" t="s">
        <v>197</v>
      </c>
      <c r="D59" s="47"/>
      <c r="E59" s="47"/>
      <c r="F59" s="48"/>
      <c r="G59" s="67" t="s">
        <v>62</v>
      </c>
      <c r="H59" s="68"/>
      <c r="I59" s="68"/>
      <c r="J59" s="69"/>
      <c r="K59" s="46"/>
      <c r="L59" s="47"/>
      <c r="M59" s="47"/>
      <c r="N59" s="48"/>
      <c r="O59" s="46" t="s">
        <v>229</v>
      </c>
      <c r="P59" s="47"/>
      <c r="Q59" s="48"/>
      <c r="R59" s="46"/>
      <c r="S59" s="48"/>
      <c r="T59" s="46"/>
      <c r="U59" s="48"/>
      <c r="V59" s="46"/>
      <c r="W59" s="48"/>
      <c r="X59" s="50"/>
      <c r="Y59" s="51"/>
    </row>
    <row r="60" spans="1:25" ht="30" customHeight="1" x14ac:dyDescent="0.25">
      <c r="A60" s="35">
        <v>5</v>
      </c>
      <c r="B60" s="36" t="s">
        <v>164</v>
      </c>
      <c r="C60" s="46" t="s">
        <v>198</v>
      </c>
      <c r="D60" s="47"/>
      <c r="E60" s="47"/>
      <c r="F60" s="48"/>
      <c r="G60" s="67" t="s">
        <v>308</v>
      </c>
      <c r="H60" s="68"/>
      <c r="I60" s="68"/>
      <c r="J60" s="69"/>
      <c r="K60" s="46"/>
      <c r="L60" s="47"/>
      <c r="M60" s="47"/>
      <c r="N60" s="48"/>
      <c r="O60" s="46" t="s">
        <v>229</v>
      </c>
      <c r="P60" s="47"/>
      <c r="Q60" s="48"/>
      <c r="R60" s="46"/>
      <c r="S60" s="48"/>
      <c r="T60" s="46"/>
      <c r="U60" s="48"/>
      <c r="V60" s="46"/>
      <c r="W60" s="48"/>
      <c r="X60" s="50"/>
      <c r="Y60" s="51"/>
    </row>
    <row r="61" spans="1:25" ht="30" customHeight="1" x14ac:dyDescent="0.25">
      <c r="A61" s="35">
        <v>6</v>
      </c>
      <c r="B61" s="36" t="s">
        <v>199</v>
      </c>
      <c r="C61" s="46" t="s">
        <v>200</v>
      </c>
      <c r="D61" s="47"/>
      <c r="E61" s="47"/>
      <c r="F61" s="48"/>
      <c r="G61" s="67" t="s">
        <v>19</v>
      </c>
      <c r="H61" s="68"/>
      <c r="I61" s="68"/>
      <c r="J61" s="69"/>
      <c r="K61" s="46"/>
      <c r="L61" s="47"/>
      <c r="M61" s="47"/>
      <c r="N61" s="48"/>
      <c r="O61" s="46" t="s">
        <v>229</v>
      </c>
      <c r="P61" s="47"/>
      <c r="Q61" s="48"/>
      <c r="R61" s="46"/>
      <c r="S61" s="48"/>
      <c r="T61" s="46"/>
      <c r="U61" s="48"/>
      <c r="V61" s="46"/>
      <c r="W61" s="48"/>
      <c r="X61" s="50" t="s">
        <v>312</v>
      </c>
      <c r="Y61" s="51"/>
    </row>
    <row r="62" spans="1:25" ht="48" customHeight="1" thickBot="1" x14ac:dyDescent="0.3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54" customHeight="1" thickTop="1" x14ac:dyDescent="0.25">
      <c r="A63" s="20">
        <f>'Invetario de Tablas'!A13</f>
        <v>10</v>
      </c>
      <c r="B63" s="29" t="s">
        <v>28</v>
      </c>
      <c r="C63" s="54" t="str">
        <f>'Invetario de Tablas'!B13</f>
        <v>entidad_financiera</v>
      </c>
      <c r="D63" s="55"/>
      <c r="E63" s="55"/>
      <c r="F63" s="56"/>
      <c r="G63" s="57" t="s">
        <v>29</v>
      </c>
      <c r="H63" s="58"/>
      <c r="I63" s="58"/>
      <c r="J63" s="59"/>
      <c r="K63" s="60" t="str">
        <f>'Invetario de Tablas'!C13</f>
        <v>Organización que puede brindar apoyo económico o financiamiento a proyectos o investigaciones del sector apícola</v>
      </c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2"/>
      <c r="X63" s="21" t="s">
        <v>32</v>
      </c>
      <c r="Y63" s="22"/>
    </row>
    <row r="64" spans="1:25" ht="60" customHeight="1" x14ac:dyDescent="0.25">
      <c r="A64" s="23" t="s">
        <v>1</v>
      </c>
      <c r="B64" s="24" t="s">
        <v>33</v>
      </c>
      <c r="C64" s="52" t="s">
        <v>34</v>
      </c>
      <c r="D64" s="64"/>
      <c r="E64" s="64"/>
      <c r="F64" s="65"/>
      <c r="G64" s="52" t="s">
        <v>43</v>
      </c>
      <c r="H64" s="64"/>
      <c r="I64" s="64"/>
      <c r="J64" s="65"/>
      <c r="K64" s="52" t="s">
        <v>36</v>
      </c>
      <c r="L64" s="64"/>
      <c r="M64" s="64"/>
      <c r="N64" s="65"/>
      <c r="O64" s="52" t="s">
        <v>37</v>
      </c>
      <c r="P64" s="64"/>
      <c r="Q64" s="65"/>
      <c r="R64" s="52" t="s">
        <v>38</v>
      </c>
      <c r="S64" s="65"/>
      <c r="T64" s="52" t="s">
        <v>39</v>
      </c>
      <c r="U64" s="65"/>
      <c r="V64" s="52" t="s">
        <v>40</v>
      </c>
      <c r="W64" s="65"/>
      <c r="X64" s="52" t="s">
        <v>41</v>
      </c>
      <c r="Y64" s="53"/>
    </row>
    <row r="65" spans="1:25" ht="30" customHeight="1" x14ac:dyDescent="0.25">
      <c r="A65" s="35">
        <v>1</v>
      </c>
      <c r="B65" s="36" t="s">
        <v>201</v>
      </c>
      <c r="C65" s="46" t="s">
        <v>202</v>
      </c>
      <c r="D65" s="47"/>
      <c r="E65" s="47"/>
      <c r="F65" s="48"/>
      <c r="G65" s="67" t="s">
        <v>309</v>
      </c>
      <c r="H65" s="42"/>
      <c r="I65" s="42"/>
      <c r="J65" s="43"/>
      <c r="K65" s="46">
        <v>11</v>
      </c>
      <c r="L65" s="47"/>
      <c r="M65" s="47"/>
      <c r="N65" s="48"/>
      <c r="O65" s="46" t="s">
        <v>229</v>
      </c>
      <c r="P65" s="47"/>
      <c r="Q65" s="48"/>
      <c r="R65" s="49" t="s">
        <v>230</v>
      </c>
      <c r="S65" s="48"/>
      <c r="T65" s="46"/>
      <c r="U65" s="48"/>
      <c r="V65" s="49" t="s">
        <v>230</v>
      </c>
      <c r="W65" s="48"/>
      <c r="X65" s="50"/>
      <c r="Y65" s="51"/>
    </row>
    <row r="66" spans="1:25" ht="30" customHeight="1" x14ac:dyDescent="0.25">
      <c r="A66" s="35">
        <v>2</v>
      </c>
      <c r="B66" s="36" t="s">
        <v>146</v>
      </c>
      <c r="C66" s="46" t="s">
        <v>203</v>
      </c>
      <c r="D66" s="47"/>
      <c r="E66" s="47"/>
      <c r="F66" s="48"/>
      <c r="G66" s="67" t="s">
        <v>310</v>
      </c>
      <c r="H66" s="68"/>
      <c r="I66" s="68"/>
      <c r="J66" s="69"/>
      <c r="K66" s="46">
        <v>100</v>
      </c>
      <c r="L66" s="47"/>
      <c r="M66" s="47"/>
      <c r="N66" s="48"/>
      <c r="O66" s="46" t="s">
        <v>229</v>
      </c>
      <c r="P66" s="47"/>
      <c r="Q66" s="48"/>
      <c r="R66" s="46"/>
      <c r="S66" s="48"/>
      <c r="T66" s="46"/>
      <c r="U66" s="48"/>
      <c r="V66" s="46"/>
      <c r="W66" s="48"/>
      <c r="X66" s="50"/>
      <c r="Y66" s="51"/>
    </row>
    <row r="67" spans="1:25" ht="30" customHeight="1" x14ac:dyDescent="0.25">
      <c r="A67" s="35">
        <v>3</v>
      </c>
      <c r="B67" s="36" t="s">
        <v>204</v>
      </c>
      <c r="C67" s="46" t="s">
        <v>203</v>
      </c>
      <c r="D67" s="47"/>
      <c r="E67" s="47"/>
      <c r="F67" s="48"/>
      <c r="G67" s="67" t="s">
        <v>310</v>
      </c>
      <c r="H67" s="68"/>
      <c r="I67" s="68"/>
      <c r="J67" s="69"/>
      <c r="K67" s="46">
        <v>100</v>
      </c>
      <c r="L67" s="47"/>
      <c r="M67" s="47"/>
      <c r="N67" s="48"/>
      <c r="O67" s="46" t="s">
        <v>229</v>
      </c>
      <c r="P67" s="47"/>
      <c r="Q67" s="48"/>
      <c r="R67" s="46"/>
      <c r="S67" s="48"/>
      <c r="T67" s="46"/>
      <c r="U67" s="48"/>
      <c r="V67" s="46"/>
      <c r="W67" s="48"/>
      <c r="X67" s="50"/>
      <c r="Y67" s="51"/>
    </row>
    <row r="68" spans="1:25" ht="30" customHeight="1" x14ac:dyDescent="0.25">
      <c r="A68" s="35">
        <v>4</v>
      </c>
      <c r="B68" s="36" t="s">
        <v>151</v>
      </c>
      <c r="C68" s="46" t="s">
        <v>153</v>
      </c>
      <c r="D68" s="47"/>
      <c r="E68" s="47"/>
      <c r="F68" s="48"/>
      <c r="G68" s="67" t="s">
        <v>310</v>
      </c>
      <c r="H68" s="68"/>
      <c r="I68" s="68"/>
      <c r="J68" s="69"/>
      <c r="K68" s="46">
        <v>15</v>
      </c>
      <c r="L68" s="47"/>
      <c r="M68" s="47"/>
      <c r="N68" s="48"/>
      <c r="O68" s="46" t="s">
        <v>229</v>
      </c>
      <c r="P68" s="47"/>
      <c r="Q68" s="48"/>
      <c r="R68" s="46"/>
      <c r="S68" s="48"/>
      <c r="T68" s="46"/>
      <c r="U68" s="48"/>
      <c r="V68" s="49" t="s">
        <v>230</v>
      </c>
      <c r="W68" s="48"/>
      <c r="X68" s="50"/>
      <c r="Y68" s="51"/>
    </row>
    <row r="69" spans="1:25" ht="30" customHeight="1" x14ac:dyDescent="0.25">
      <c r="A69" s="35">
        <v>5</v>
      </c>
      <c r="B69" s="36" t="s">
        <v>152</v>
      </c>
      <c r="C69" s="46" t="s">
        <v>154</v>
      </c>
      <c r="D69" s="47"/>
      <c r="E69" s="47"/>
      <c r="F69" s="48"/>
      <c r="G69" s="67" t="s">
        <v>310</v>
      </c>
      <c r="H69" s="68"/>
      <c r="I69" s="68"/>
      <c r="J69" s="69"/>
      <c r="K69" s="46">
        <v>100</v>
      </c>
      <c r="L69" s="47"/>
      <c r="M69" s="47"/>
      <c r="N69" s="48"/>
      <c r="O69" s="46" t="s">
        <v>229</v>
      </c>
      <c r="P69" s="47"/>
      <c r="Q69" s="48"/>
      <c r="R69" s="46"/>
      <c r="S69" s="48"/>
      <c r="T69" s="46"/>
      <c r="U69" s="48"/>
      <c r="V69" s="49" t="s">
        <v>230</v>
      </c>
      <c r="W69" s="48"/>
      <c r="X69" s="50"/>
      <c r="Y69" s="51"/>
    </row>
    <row r="70" spans="1:25" ht="48" customHeight="1" thickBot="1" x14ac:dyDescent="0.3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spans="1:25" ht="54" customHeight="1" thickTop="1" x14ac:dyDescent="0.25">
      <c r="A71" s="20">
        <f>'Invetario de Tablas'!A14</f>
        <v>11</v>
      </c>
      <c r="B71" s="29" t="s">
        <v>28</v>
      </c>
      <c r="C71" s="54" t="str">
        <f>'Invetario de Tablas'!B14</f>
        <v>entidad_reguladora</v>
      </c>
      <c r="D71" s="55"/>
      <c r="E71" s="55"/>
      <c r="F71" s="56"/>
      <c r="G71" s="57" t="s">
        <v>29</v>
      </c>
      <c r="H71" s="58"/>
      <c r="I71" s="58"/>
      <c r="J71" s="59"/>
      <c r="K71" s="60" t="str">
        <f>'Invetario de Tablas'!C14</f>
        <v>Entidad encargada de supervisar el cumplimiento de normas y emitir certificaciones relacionadas con la producción apícola</v>
      </c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2"/>
      <c r="X71" s="21" t="s">
        <v>32</v>
      </c>
      <c r="Y71" s="22"/>
    </row>
    <row r="72" spans="1:25" ht="60" customHeight="1" x14ac:dyDescent="0.25">
      <c r="A72" s="23" t="s">
        <v>1</v>
      </c>
      <c r="B72" s="24" t="s">
        <v>33</v>
      </c>
      <c r="C72" s="52" t="s">
        <v>34</v>
      </c>
      <c r="D72" s="64"/>
      <c r="E72" s="64"/>
      <c r="F72" s="65"/>
      <c r="G72" s="52" t="s">
        <v>43</v>
      </c>
      <c r="H72" s="64"/>
      <c r="I72" s="64"/>
      <c r="J72" s="65"/>
      <c r="K72" s="52" t="s">
        <v>36</v>
      </c>
      <c r="L72" s="64"/>
      <c r="M72" s="64"/>
      <c r="N72" s="65"/>
      <c r="O72" s="52" t="s">
        <v>37</v>
      </c>
      <c r="P72" s="64"/>
      <c r="Q72" s="65"/>
      <c r="R72" s="52" t="s">
        <v>38</v>
      </c>
      <c r="S72" s="65"/>
      <c r="T72" s="52" t="s">
        <v>39</v>
      </c>
      <c r="U72" s="65"/>
      <c r="V72" s="52" t="s">
        <v>40</v>
      </c>
      <c r="W72" s="65"/>
      <c r="X72" s="52" t="s">
        <v>41</v>
      </c>
      <c r="Y72" s="53"/>
    </row>
    <row r="73" spans="1:25" ht="30" customHeight="1" x14ac:dyDescent="0.25">
      <c r="A73" s="37">
        <v>1</v>
      </c>
      <c r="B73" s="36" t="s">
        <v>205</v>
      </c>
      <c r="C73" s="46" t="s">
        <v>206</v>
      </c>
      <c r="D73" s="47"/>
      <c r="E73" s="47"/>
      <c r="F73" s="48"/>
      <c r="G73" s="67" t="s">
        <v>309</v>
      </c>
      <c r="H73" s="42"/>
      <c r="I73" s="42"/>
      <c r="J73" s="43"/>
      <c r="K73" s="46">
        <v>11</v>
      </c>
      <c r="L73" s="47"/>
      <c r="M73" s="47"/>
      <c r="N73" s="48"/>
      <c r="O73" s="46" t="s">
        <v>229</v>
      </c>
      <c r="P73" s="47"/>
      <c r="Q73" s="48"/>
      <c r="R73" s="49" t="s">
        <v>230</v>
      </c>
      <c r="S73" s="48"/>
      <c r="T73" s="46"/>
      <c r="U73" s="48"/>
      <c r="V73" s="49" t="s">
        <v>230</v>
      </c>
      <c r="W73" s="48"/>
      <c r="X73" s="50"/>
      <c r="Y73" s="51"/>
    </row>
    <row r="74" spans="1:25" ht="30" customHeight="1" x14ac:dyDescent="0.25">
      <c r="A74" s="37">
        <v>2</v>
      </c>
      <c r="B74" s="36" t="s">
        <v>146</v>
      </c>
      <c r="C74" s="46" t="s">
        <v>207</v>
      </c>
      <c r="D74" s="47"/>
      <c r="E74" s="47"/>
      <c r="F74" s="48"/>
      <c r="G74" s="67" t="s">
        <v>310</v>
      </c>
      <c r="H74" s="68"/>
      <c r="I74" s="68"/>
      <c r="J74" s="69"/>
      <c r="K74" s="46">
        <v>100</v>
      </c>
      <c r="L74" s="47"/>
      <c r="M74" s="47"/>
      <c r="N74" s="48"/>
      <c r="O74" s="46" t="s">
        <v>229</v>
      </c>
      <c r="P74" s="47"/>
      <c r="Q74" s="48"/>
      <c r="R74" s="46"/>
      <c r="S74" s="48"/>
      <c r="T74" s="46"/>
      <c r="U74" s="48"/>
      <c r="V74" s="46"/>
      <c r="W74" s="48"/>
      <c r="X74" s="50"/>
      <c r="Y74" s="51"/>
    </row>
    <row r="75" spans="1:25" ht="30" customHeight="1" x14ac:dyDescent="0.25">
      <c r="A75" s="37">
        <v>3</v>
      </c>
      <c r="B75" s="36" t="s">
        <v>208</v>
      </c>
      <c r="C75" s="46" t="s">
        <v>209</v>
      </c>
      <c r="D75" s="47"/>
      <c r="E75" s="47"/>
      <c r="F75" s="48"/>
      <c r="G75" s="67" t="s">
        <v>310</v>
      </c>
      <c r="H75" s="68"/>
      <c r="I75" s="68"/>
      <c r="J75" s="69"/>
      <c r="K75" s="46">
        <v>100</v>
      </c>
      <c r="L75" s="47"/>
      <c r="M75" s="47"/>
      <c r="N75" s="48"/>
      <c r="O75" s="46" t="s">
        <v>229</v>
      </c>
      <c r="P75" s="47"/>
      <c r="Q75" s="48"/>
      <c r="R75" s="46"/>
      <c r="S75" s="48"/>
      <c r="T75" s="46"/>
      <c r="U75" s="48"/>
      <c r="V75" s="46"/>
      <c r="W75" s="48"/>
      <c r="X75" s="50"/>
      <c r="Y75" s="51"/>
    </row>
    <row r="76" spans="1:25" ht="30" customHeight="1" x14ac:dyDescent="0.25">
      <c r="A76" s="37">
        <v>4</v>
      </c>
      <c r="B76" s="36" t="s">
        <v>151</v>
      </c>
      <c r="C76" s="46" t="s">
        <v>210</v>
      </c>
      <c r="D76" s="47"/>
      <c r="E76" s="47"/>
      <c r="F76" s="48"/>
      <c r="G76" s="67" t="s">
        <v>310</v>
      </c>
      <c r="H76" s="68"/>
      <c r="I76" s="68"/>
      <c r="J76" s="69"/>
      <c r="K76" s="46">
        <v>15</v>
      </c>
      <c r="L76" s="47"/>
      <c r="M76" s="47"/>
      <c r="N76" s="48"/>
      <c r="O76" s="46" t="s">
        <v>229</v>
      </c>
      <c r="P76" s="47"/>
      <c r="Q76" s="48"/>
      <c r="R76" s="46"/>
      <c r="S76" s="48"/>
      <c r="T76" s="46"/>
      <c r="U76" s="48"/>
      <c r="V76" s="49" t="s">
        <v>230</v>
      </c>
      <c r="W76" s="48"/>
      <c r="X76" s="50"/>
      <c r="Y76" s="51"/>
    </row>
    <row r="77" spans="1:25" ht="30" customHeight="1" x14ac:dyDescent="0.25">
      <c r="A77" s="37">
        <v>5</v>
      </c>
      <c r="B77" s="36" t="s">
        <v>152</v>
      </c>
      <c r="C77" s="46" t="s">
        <v>211</v>
      </c>
      <c r="D77" s="47"/>
      <c r="E77" s="47"/>
      <c r="F77" s="48"/>
      <c r="G77" s="67" t="s">
        <v>310</v>
      </c>
      <c r="H77" s="68"/>
      <c r="I77" s="68"/>
      <c r="J77" s="69"/>
      <c r="K77" s="46">
        <v>100</v>
      </c>
      <c r="L77" s="47"/>
      <c r="M77" s="47"/>
      <c r="N77" s="48"/>
      <c r="O77" s="46" t="s">
        <v>229</v>
      </c>
      <c r="P77" s="47"/>
      <c r="Q77" s="48"/>
      <c r="R77" s="46"/>
      <c r="S77" s="48"/>
      <c r="T77" s="46"/>
      <c r="U77" s="48"/>
      <c r="V77" s="49" t="s">
        <v>230</v>
      </c>
      <c r="W77" s="48"/>
      <c r="X77" s="50"/>
      <c r="Y77" s="51"/>
    </row>
    <row r="78" spans="1:25" ht="48" customHeight="1" thickBot="1" x14ac:dyDescent="0.3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 spans="1:25" ht="54" customHeight="1" thickTop="1" x14ac:dyDescent="0.25">
      <c r="A79" s="20">
        <f>'Invetario de Tablas'!A15</f>
        <v>12</v>
      </c>
      <c r="B79" s="29" t="s">
        <v>28</v>
      </c>
      <c r="C79" s="54" t="str">
        <f>'Invetario de Tablas'!B15</f>
        <v>cooperativa</v>
      </c>
      <c r="D79" s="55"/>
      <c r="E79" s="55"/>
      <c r="F79" s="56"/>
      <c r="G79" s="57" t="s">
        <v>29</v>
      </c>
      <c r="H79" s="58"/>
      <c r="I79" s="58"/>
      <c r="J79" s="59"/>
      <c r="K79" s="60" t="str">
        <f>'Invetario de Tablas'!C15</f>
        <v>Organizacion que apoya procesos productivos</v>
      </c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2"/>
      <c r="X79" s="21" t="s">
        <v>32</v>
      </c>
      <c r="Y79" s="22"/>
    </row>
    <row r="80" spans="1:25" ht="60" customHeight="1" x14ac:dyDescent="0.25">
      <c r="A80" s="23" t="s">
        <v>1</v>
      </c>
      <c r="B80" s="24" t="s">
        <v>33</v>
      </c>
      <c r="C80" s="52" t="s">
        <v>34</v>
      </c>
      <c r="D80" s="64"/>
      <c r="E80" s="64"/>
      <c r="F80" s="65"/>
      <c r="G80" s="52" t="s">
        <v>43</v>
      </c>
      <c r="H80" s="64"/>
      <c r="I80" s="64"/>
      <c r="J80" s="65"/>
      <c r="K80" s="52" t="s">
        <v>36</v>
      </c>
      <c r="L80" s="64"/>
      <c r="M80" s="64"/>
      <c r="N80" s="65"/>
      <c r="O80" s="52" t="s">
        <v>37</v>
      </c>
      <c r="P80" s="64"/>
      <c r="Q80" s="65"/>
      <c r="R80" s="52" t="s">
        <v>38</v>
      </c>
      <c r="S80" s="65"/>
      <c r="T80" s="52" t="s">
        <v>39</v>
      </c>
      <c r="U80" s="65"/>
      <c r="V80" s="52" t="s">
        <v>40</v>
      </c>
      <c r="W80" s="65"/>
      <c r="X80" s="52" t="s">
        <v>41</v>
      </c>
      <c r="Y80" s="53"/>
    </row>
    <row r="81" spans="1:25" ht="30" customHeight="1" x14ac:dyDescent="0.25">
      <c r="A81" s="37">
        <v>1</v>
      </c>
      <c r="B81" s="36" t="s">
        <v>212</v>
      </c>
      <c r="C81" s="46" t="s">
        <v>213</v>
      </c>
      <c r="D81" s="47"/>
      <c r="E81" s="47"/>
      <c r="F81" s="48"/>
      <c r="G81" s="67" t="s">
        <v>309</v>
      </c>
      <c r="H81" s="42"/>
      <c r="I81" s="42"/>
      <c r="J81" s="43"/>
      <c r="K81" s="46">
        <v>11</v>
      </c>
      <c r="L81" s="47"/>
      <c r="M81" s="47"/>
      <c r="N81" s="48"/>
      <c r="O81" s="46" t="s">
        <v>229</v>
      </c>
      <c r="P81" s="47"/>
      <c r="Q81" s="48"/>
      <c r="R81" s="49" t="s">
        <v>230</v>
      </c>
      <c r="S81" s="48"/>
      <c r="T81" s="46"/>
      <c r="U81" s="48"/>
      <c r="V81" s="49" t="s">
        <v>230</v>
      </c>
      <c r="W81" s="48"/>
      <c r="X81" s="50"/>
      <c r="Y81" s="51"/>
    </row>
    <row r="82" spans="1:25" ht="30" customHeight="1" x14ac:dyDescent="0.25">
      <c r="A82" s="37">
        <v>2</v>
      </c>
      <c r="B82" s="36" t="s">
        <v>146</v>
      </c>
      <c r="C82" s="46" t="s">
        <v>214</v>
      </c>
      <c r="D82" s="47"/>
      <c r="E82" s="47"/>
      <c r="F82" s="48"/>
      <c r="G82" s="67" t="s">
        <v>310</v>
      </c>
      <c r="H82" s="68"/>
      <c r="I82" s="68"/>
      <c r="J82" s="69"/>
      <c r="K82" s="46">
        <v>100</v>
      </c>
      <c r="L82" s="47"/>
      <c r="M82" s="47"/>
      <c r="N82" s="48"/>
      <c r="O82" s="46" t="s">
        <v>229</v>
      </c>
      <c r="P82" s="47"/>
      <c r="Q82" s="48"/>
      <c r="R82" s="46"/>
      <c r="S82" s="48"/>
      <c r="T82" s="46"/>
      <c r="U82" s="48"/>
      <c r="V82" s="46"/>
      <c r="W82" s="48"/>
      <c r="X82" s="50"/>
      <c r="Y82" s="51"/>
    </row>
    <row r="83" spans="1:25" ht="30" customHeight="1" x14ac:dyDescent="0.25">
      <c r="A83" s="37">
        <v>3</v>
      </c>
      <c r="B83" s="36" t="s">
        <v>215</v>
      </c>
      <c r="C83" s="46" t="s">
        <v>216</v>
      </c>
      <c r="D83" s="47"/>
      <c r="E83" s="47"/>
      <c r="F83" s="48"/>
      <c r="G83" s="67" t="s">
        <v>310</v>
      </c>
      <c r="H83" s="68"/>
      <c r="I83" s="68"/>
      <c r="J83" s="69"/>
      <c r="K83" s="46">
        <v>100</v>
      </c>
      <c r="L83" s="47"/>
      <c r="M83" s="47"/>
      <c r="N83" s="48"/>
      <c r="O83" s="46" t="s">
        <v>229</v>
      </c>
      <c r="P83" s="47"/>
      <c r="Q83" s="48"/>
      <c r="R83" s="46"/>
      <c r="S83" s="48"/>
      <c r="T83" s="46"/>
      <c r="U83" s="48"/>
      <c r="V83" s="46"/>
      <c r="W83" s="48"/>
      <c r="X83" s="50"/>
      <c r="Y83" s="51"/>
    </row>
    <row r="84" spans="1:25" ht="30" customHeight="1" x14ac:dyDescent="0.25">
      <c r="A84" s="37">
        <v>4</v>
      </c>
      <c r="B84" s="36" t="s">
        <v>151</v>
      </c>
      <c r="C84" s="46" t="s">
        <v>217</v>
      </c>
      <c r="D84" s="47"/>
      <c r="E84" s="47"/>
      <c r="F84" s="48"/>
      <c r="G84" s="67" t="s">
        <v>310</v>
      </c>
      <c r="H84" s="68"/>
      <c r="I84" s="68"/>
      <c r="J84" s="69"/>
      <c r="K84" s="46">
        <v>15</v>
      </c>
      <c r="L84" s="47"/>
      <c r="M84" s="47"/>
      <c r="N84" s="48"/>
      <c r="O84" s="46" t="s">
        <v>229</v>
      </c>
      <c r="P84" s="47"/>
      <c r="Q84" s="48"/>
      <c r="R84" s="46"/>
      <c r="S84" s="48"/>
      <c r="T84" s="46"/>
      <c r="U84" s="48"/>
      <c r="V84" s="49" t="s">
        <v>230</v>
      </c>
      <c r="W84" s="48"/>
      <c r="X84" s="50"/>
      <c r="Y84" s="51"/>
    </row>
    <row r="85" spans="1:25" ht="30" customHeight="1" x14ac:dyDescent="0.25">
      <c r="A85" s="37">
        <v>5</v>
      </c>
      <c r="B85" s="36" t="s">
        <v>218</v>
      </c>
      <c r="C85" s="46" t="s">
        <v>219</v>
      </c>
      <c r="D85" s="47"/>
      <c r="E85" s="47"/>
      <c r="F85" s="48"/>
      <c r="G85" s="67" t="s">
        <v>66</v>
      </c>
      <c r="H85" s="68"/>
      <c r="I85" s="68"/>
      <c r="J85" s="69"/>
      <c r="K85" s="46"/>
      <c r="L85" s="47"/>
      <c r="M85" s="47"/>
      <c r="N85" s="48"/>
      <c r="O85" s="46" t="s">
        <v>229</v>
      </c>
      <c r="P85" s="47"/>
      <c r="Q85" s="48"/>
      <c r="R85" s="46"/>
      <c r="S85" s="48"/>
      <c r="T85" s="46"/>
      <c r="U85" s="48"/>
      <c r="V85" s="46"/>
      <c r="W85" s="48"/>
      <c r="X85" s="50"/>
      <c r="Y85" s="51"/>
    </row>
    <row r="86" spans="1:25" ht="48" customHeight="1" thickBot="1" x14ac:dyDescent="0.3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 spans="1:25" ht="54" customHeight="1" thickTop="1" x14ac:dyDescent="0.25">
      <c r="A87" s="20">
        <f>'Invetario de Tablas'!A16</f>
        <v>13</v>
      </c>
      <c r="B87" s="29" t="s">
        <v>28</v>
      </c>
      <c r="C87" s="54" t="str">
        <f>'Invetario de Tablas'!B16</f>
        <v>certificacion</v>
      </c>
      <c r="D87" s="55"/>
      <c r="E87" s="55"/>
      <c r="F87" s="56"/>
      <c r="G87" s="57" t="s">
        <v>29</v>
      </c>
      <c r="H87" s="58"/>
      <c r="I87" s="58"/>
      <c r="J87" s="59"/>
      <c r="K87" s="60" t="str">
        <f>'Invetario de Tablas'!C16</f>
        <v>Certificacion reguladora que cumple con normas puestas por la entidad reguladora</v>
      </c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2"/>
      <c r="X87" s="21" t="s">
        <v>32</v>
      </c>
      <c r="Y87" s="22"/>
    </row>
    <row r="88" spans="1:25" ht="60" customHeight="1" x14ac:dyDescent="0.25">
      <c r="A88" s="23" t="s">
        <v>1</v>
      </c>
      <c r="B88" s="24" t="s">
        <v>33</v>
      </c>
      <c r="C88" s="52" t="s">
        <v>34</v>
      </c>
      <c r="D88" s="64"/>
      <c r="E88" s="64"/>
      <c r="F88" s="65"/>
      <c r="G88" s="52" t="s">
        <v>43</v>
      </c>
      <c r="H88" s="64"/>
      <c r="I88" s="64"/>
      <c r="J88" s="65"/>
      <c r="K88" s="52" t="s">
        <v>36</v>
      </c>
      <c r="L88" s="64"/>
      <c r="M88" s="64"/>
      <c r="N88" s="65"/>
      <c r="O88" s="52" t="s">
        <v>37</v>
      </c>
      <c r="P88" s="64"/>
      <c r="Q88" s="65"/>
      <c r="R88" s="52" t="s">
        <v>38</v>
      </c>
      <c r="S88" s="65"/>
      <c r="T88" s="52" t="s">
        <v>39</v>
      </c>
      <c r="U88" s="65"/>
      <c r="V88" s="52" t="s">
        <v>40</v>
      </c>
      <c r="W88" s="65"/>
      <c r="X88" s="52" t="s">
        <v>41</v>
      </c>
      <c r="Y88" s="53"/>
    </row>
    <row r="89" spans="1:25" ht="30" customHeight="1" x14ac:dyDescent="0.25">
      <c r="A89" s="37">
        <v>1</v>
      </c>
      <c r="B89" s="36" t="s">
        <v>220</v>
      </c>
      <c r="C89" s="46" t="s">
        <v>221</v>
      </c>
      <c r="D89" s="47"/>
      <c r="E89" s="47"/>
      <c r="F89" s="48"/>
      <c r="G89" s="67" t="s">
        <v>309</v>
      </c>
      <c r="H89" s="42"/>
      <c r="I89" s="42"/>
      <c r="J89" s="43"/>
      <c r="K89" s="46">
        <v>11</v>
      </c>
      <c r="L89" s="47"/>
      <c r="M89" s="47"/>
      <c r="N89" s="48"/>
      <c r="O89" s="46" t="s">
        <v>229</v>
      </c>
      <c r="P89" s="47"/>
      <c r="Q89" s="48"/>
      <c r="R89" s="49" t="s">
        <v>230</v>
      </c>
      <c r="S89" s="48"/>
      <c r="T89" s="46"/>
      <c r="U89" s="48"/>
      <c r="V89" s="49" t="s">
        <v>230</v>
      </c>
      <c r="W89" s="48"/>
      <c r="X89" s="50"/>
      <c r="Y89" s="51"/>
    </row>
    <row r="90" spans="1:25" ht="30" customHeight="1" x14ac:dyDescent="0.25">
      <c r="A90" s="37">
        <v>2</v>
      </c>
      <c r="B90" s="36" t="s">
        <v>205</v>
      </c>
      <c r="C90" s="46" t="s">
        <v>206</v>
      </c>
      <c r="D90" s="47"/>
      <c r="E90" s="47"/>
      <c r="F90" s="48"/>
      <c r="G90" s="67" t="s">
        <v>55</v>
      </c>
      <c r="H90" s="68"/>
      <c r="I90" s="68"/>
      <c r="J90" s="69"/>
      <c r="K90" s="46">
        <v>11</v>
      </c>
      <c r="L90" s="47"/>
      <c r="M90" s="47"/>
      <c r="N90" s="48"/>
      <c r="O90" s="46" t="s">
        <v>229</v>
      </c>
      <c r="P90" s="47"/>
      <c r="Q90" s="48"/>
      <c r="R90" s="46"/>
      <c r="S90" s="48"/>
      <c r="T90" s="49" t="s">
        <v>230</v>
      </c>
      <c r="U90" s="48"/>
      <c r="V90" s="46"/>
      <c r="W90" s="48"/>
      <c r="X90" s="50"/>
      <c r="Y90" s="51"/>
    </row>
    <row r="91" spans="1:25" ht="30" customHeight="1" x14ac:dyDescent="0.25">
      <c r="A91" s="37">
        <v>3</v>
      </c>
      <c r="B91" s="36" t="s">
        <v>147</v>
      </c>
      <c r="C91" s="46" t="s">
        <v>222</v>
      </c>
      <c r="D91" s="47"/>
      <c r="E91" s="47"/>
      <c r="F91" s="48"/>
      <c r="G91" s="67" t="s">
        <v>62</v>
      </c>
      <c r="H91" s="68"/>
      <c r="I91" s="68"/>
      <c r="J91" s="69"/>
      <c r="K91" s="46"/>
      <c r="L91" s="47"/>
      <c r="M91" s="47"/>
      <c r="N91" s="48"/>
      <c r="O91" s="46" t="s">
        <v>231</v>
      </c>
      <c r="P91" s="47"/>
      <c r="Q91" s="48"/>
      <c r="R91" s="46"/>
      <c r="S91" s="48"/>
      <c r="T91" s="46"/>
      <c r="U91" s="48"/>
      <c r="V91" s="46"/>
      <c r="W91" s="48"/>
      <c r="X91" s="50"/>
      <c r="Y91" s="51"/>
    </row>
    <row r="92" spans="1:25" ht="30" customHeight="1" x14ac:dyDescent="0.25">
      <c r="A92" s="37">
        <v>4</v>
      </c>
      <c r="B92" s="36" t="s">
        <v>223</v>
      </c>
      <c r="C92" s="46" t="s">
        <v>224</v>
      </c>
      <c r="D92" s="47"/>
      <c r="E92" s="47"/>
      <c r="F92" s="48"/>
      <c r="G92" s="67" t="s">
        <v>66</v>
      </c>
      <c r="H92" s="68"/>
      <c r="I92" s="68"/>
      <c r="J92" s="69"/>
      <c r="K92" s="46"/>
      <c r="L92" s="47"/>
      <c r="M92" s="47"/>
      <c r="N92" s="48"/>
      <c r="O92" s="46" t="s">
        <v>231</v>
      </c>
      <c r="P92" s="47"/>
      <c r="Q92" s="48"/>
      <c r="R92" s="46"/>
      <c r="S92" s="48"/>
      <c r="T92" s="46"/>
      <c r="U92" s="48"/>
      <c r="V92" s="46"/>
      <c r="W92" s="48"/>
      <c r="X92" s="50"/>
      <c r="Y92" s="51"/>
    </row>
    <row r="93" spans="1:25" ht="30" customHeight="1" x14ac:dyDescent="0.25">
      <c r="A93" s="37">
        <v>5</v>
      </c>
      <c r="B93" s="36" t="s">
        <v>225</v>
      </c>
      <c r="C93" s="46" t="s">
        <v>226</v>
      </c>
      <c r="D93" s="47"/>
      <c r="E93" s="47"/>
      <c r="F93" s="48"/>
      <c r="G93" s="67" t="s">
        <v>66</v>
      </c>
      <c r="H93" s="68"/>
      <c r="I93" s="68"/>
      <c r="J93" s="69"/>
      <c r="K93" s="46"/>
      <c r="L93" s="47"/>
      <c r="M93" s="47"/>
      <c r="N93" s="48"/>
      <c r="O93" s="46" t="s">
        <v>231</v>
      </c>
      <c r="P93" s="47"/>
      <c r="Q93" s="48"/>
      <c r="R93" s="46"/>
      <c r="S93" s="48"/>
      <c r="T93" s="46"/>
      <c r="U93" s="48"/>
      <c r="V93" s="46"/>
      <c r="W93" s="48"/>
      <c r="X93" s="50"/>
      <c r="Y93" s="51"/>
    </row>
    <row r="94" spans="1:25" ht="30" customHeight="1" x14ac:dyDescent="0.25">
      <c r="A94" s="37">
        <v>6</v>
      </c>
      <c r="B94" s="36" t="s">
        <v>227</v>
      </c>
      <c r="C94" s="46" t="s">
        <v>228</v>
      </c>
      <c r="D94" s="47"/>
      <c r="E94" s="47"/>
      <c r="F94" s="48"/>
      <c r="G94" s="67" t="s">
        <v>310</v>
      </c>
      <c r="H94" s="68"/>
      <c r="I94" s="68"/>
      <c r="J94" s="69"/>
      <c r="K94" s="46">
        <v>100</v>
      </c>
      <c r="L94" s="47"/>
      <c r="M94" s="47"/>
      <c r="N94" s="48"/>
      <c r="O94" s="46" t="s">
        <v>231</v>
      </c>
      <c r="P94" s="47"/>
      <c r="Q94" s="48"/>
      <c r="R94" s="46"/>
      <c r="S94" s="48"/>
      <c r="T94" s="46"/>
      <c r="U94" s="48"/>
      <c r="V94" s="46"/>
      <c r="W94" s="48"/>
      <c r="X94" s="50"/>
      <c r="Y94" s="51"/>
    </row>
    <row r="95" spans="1:25" ht="48" customHeight="1" thickBot="1" x14ac:dyDescent="0.3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 spans="1:25" ht="54" customHeight="1" thickTop="1" x14ac:dyDescent="0.25">
      <c r="A96" s="20">
        <f>'Invetario de Tablas'!A17</f>
        <v>14</v>
      </c>
      <c r="B96" s="29" t="s">
        <v>28</v>
      </c>
      <c r="C96" s="54" t="str">
        <f>'Invetario de Tablas'!B17</f>
        <v>consumidor</v>
      </c>
      <c r="D96" s="55"/>
      <c r="E96" s="55"/>
      <c r="F96" s="56"/>
      <c r="G96" s="57" t="s">
        <v>29</v>
      </c>
      <c r="H96" s="58"/>
      <c r="I96" s="58"/>
      <c r="J96" s="59"/>
      <c r="K96" s="60" t="str">
        <f>'Invetario de Tablas'!C17</f>
        <v>Persona que consume los productos apicola</v>
      </c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2"/>
      <c r="X96" s="21" t="s">
        <v>32</v>
      </c>
      <c r="Y96" s="22"/>
    </row>
    <row r="97" spans="1:25" ht="60" customHeight="1" x14ac:dyDescent="0.25">
      <c r="A97" s="23" t="s">
        <v>1</v>
      </c>
      <c r="B97" s="24" t="s">
        <v>33</v>
      </c>
      <c r="C97" s="52" t="s">
        <v>34</v>
      </c>
      <c r="D97" s="64"/>
      <c r="E97" s="64"/>
      <c r="F97" s="65"/>
      <c r="G97" s="52" t="s">
        <v>43</v>
      </c>
      <c r="H97" s="64"/>
      <c r="I97" s="64"/>
      <c r="J97" s="65"/>
      <c r="K97" s="52" t="s">
        <v>36</v>
      </c>
      <c r="L97" s="64"/>
      <c r="M97" s="64"/>
      <c r="N97" s="65"/>
      <c r="O97" s="52" t="s">
        <v>37</v>
      </c>
      <c r="P97" s="64"/>
      <c r="Q97" s="65"/>
      <c r="R97" s="52" t="s">
        <v>38</v>
      </c>
      <c r="S97" s="65"/>
      <c r="T97" s="52" t="s">
        <v>39</v>
      </c>
      <c r="U97" s="65"/>
      <c r="V97" s="52" t="s">
        <v>40</v>
      </c>
      <c r="W97" s="65"/>
      <c r="X97" s="52" t="s">
        <v>41</v>
      </c>
      <c r="Y97" s="53"/>
    </row>
    <row r="98" spans="1:25" ht="30" customHeight="1" x14ac:dyDescent="0.25">
      <c r="A98" s="37">
        <v>1</v>
      </c>
      <c r="B98" s="36" t="s">
        <v>170</v>
      </c>
      <c r="C98" s="46" t="s">
        <v>232</v>
      </c>
      <c r="D98" s="47"/>
      <c r="E98" s="47"/>
      <c r="F98" s="48"/>
      <c r="G98" s="67" t="s">
        <v>309</v>
      </c>
      <c r="H98" s="42"/>
      <c r="I98" s="42"/>
      <c r="J98" s="43"/>
      <c r="K98" s="46">
        <v>11</v>
      </c>
      <c r="L98" s="47"/>
      <c r="M98" s="47"/>
      <c r="N98" s="48"/>
      <c r="O98" s="46" t="s">
        <v>229</v>
      </c>
      <c r="P98" s="47"/>
      <c r="Q98" s="48"/>
      <c r="R98" s="49" t="s">
        <v>230</v>
      </c>
      <c r="S98" s="48"/>
      <c r="T98" s="46"/>
      <c r="U98" s="48"/>
      <c r="V98" s="49" t="s">
        <v>230</v>
      </c>
      <c r="W98" s="48"/>
      <c r="X98" s="50"/>
      <c r="Y98" s="51"/>
    </row>
    <row r="99" spans="1:25" ht="30" customHeight="1" x14ac:dyDescent="0.25">
      <c r="A99" s="37">
        <v>2</v>
      </c>
      <c r="B99" s="36" t="s">
        <v>146</v>
      </c>
      <c r="C99" s="46" t="s">
        <v>318</v>
      </c>
      <c r="D99" s="47"/>
      <c r="E99" s="47"/>
      <c r="F99" s="48"/>
      <c r="G99" s="67" t="s">
        <v>310</v>
      </c>
      <c r="H99" s="68"/>
      <c r="I99" s="68"/>
      <c r="J99" s="69"/>
      <c r="K99" s="46">
        <v>80</v>
      </c>
      <c r="L99" s="47"/>
      <c r="M99" s="47"/>
      <c r="N99" s="48"/>
      <c r="O99" s="46" t="s">
        <v>229</v>
      </c>
      <c r="P99" s="47"/>
      <c r="Q99" s="48"/>
      <c r="R99" s="46"/>
      <c r="S99" s="48"/>
      <c r="T99" s="46"/>
      <c r="U99" s="48"/>
      <c r="V99" s="46"/>
      <c r="W99" s="48"/>
      <c r="X99" s="50"/>
      <c r="Y99" s="51"/>
    </row>
    <row r="100" spans="1:25" ht="30" customHeight="1" x14ac:dyDescent="0.25">
      <c r="A100" s="37">
        <v>3</v>
      </c>
      <c r="B100" s="36" t="s">
        <v>152</v>
      </c>
      <c r="C100" s="46" t="s">
        <v>233</v>
      </c>
      <c r="D100" s="47"/>
      <c r="E100" s="47"/>
      <c r="F100" s="48"/>
      <c r="G100" s="67" t="s">
        <v>310</v>
      </c>
      <c r="H100" s="68"/>
      <c r="I100" s="68"/>
      <c r="J100" s="69"/>
      <c r="K100" s="46">
        <v>100</v>
      </c>
      <c r="L100" s="47"/>
      <c r="M100" s="47"/>
      <c r="N100" s="48"/>
      <c r="O100" s="46" t="s">
        <v>229</v>
      </c>
      <c r="P100" s="47"/>
      <c r="Q100" s="48"/>
      <c r="R100" s="46"/>
      <c r="S100" s="48"/>
      <c r="T100" s="46"/>
      <c r="U100" s="48"/>
      <c r="V100" s="49" t="s">
        <v>230</v>
      </c>
      <c r="W100" s="48"/>
      <c r="X100" s="50"/>
      <c r="Y100" s="51"/>
    </row>
    <row r="101" spans="1:25" ht="30" customHeight="1" x14ac:dyDescent="0.25">
      <c r="A101" s="37">
        <v>4</v>
      </c>
      <c r="B101" s="36" t="s">
        <v>151</v>
      </c>
      <c r="C101" s="46" t="s">
        <v>234</v>
      </c>
      <c r="D101" s="47"/>
      <c r="E101" s="47"/>
      <c r="F101" s="48"/>
      <c r="G101" s="67" t="s">
        <v>310</v>
      </c>
      <c r="H101" s="68"/>
      <c r="I101" s="68"/>
      <c r="J101" s="69"/>
      <c r="K101" s="46">
        <v>15</v>
      </c>
      <c r="L101" s="47"/>
      <c r="M101" s="47"/>
      <c r="N101" s="48"/>
      <c r="O101" s="46" t="s">
        <v>229</v>
      </c>
      <c r="P101" s="47"/>
      <c r="Q101" s="48"/>
      <c r="R101" s="46"/>
      <c r="S101" s="48"/>
      <c r="T101" s="46"/>
      <c r="U101" s="48"/>
      <c r="V101" s="49" t="s">
        <v>230</v>
      </c>
      <c r="W101" s="48"/>
      <c r="X101" s="50"/>
      <c r="Y101" s="51"/>
    </row>
    <row r="102" spans="1:25" ht="30" customHeight="1" x14ac:dyDescent="0.25">
      <c r="A102" s="37">
        <v>5</v>
      </c>
      <c r="B102" s="36" t="s">
        <v>215</v>
      </c>
      <c r="C102" s="46" t="s">
        <v>235</v>
      </c>
      <c r="D102" s="47"/>
      <c r="E102" s="47"/>
      <c r="F102" s="48"/>
      <c r="G102" s="67" t="s">
        <v>310</v>
      </c>
      <c r="H102" s="68"/>
      <c r="I102" s="68"/>
      <c r="J102" s="69"/>
      <c r="K102" s="46">
        <v>100</v>
      </c>
      <c r="L102" s="47"/>
      <c r="M102" s="47"/>
      <c r="N102" s="48"/>
      <c r="O102" s="46" t="s">
        <v>229</v>
      </c>
      <c r="P102" s="47"/>
      <c r="Q102" s="48"/>
      <c r="R102" s="46"/>
      <c r="S102" s="48"/>
      <c r="T102" s="46"/>
      <c r="U102" s="48"/>
      <c r="V102" s="46"/>
      <c r="W102" s="48"/>
      <c r="X102" s="50"/>
      <c r="Y102" s="51"/>
    </row>
    <row r="103" spans="1:25" ht="48" customHeight="1" thickBot="1" x14ac:dyDescent="0.3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spans="1:25" ht="54" customHeight="1" thickTop="1" x14ac:dyDescent="0.25">
      <c r="A104" s="20">
        <f>'Invetario de Tablas'!A18</f>
        <v>15</v>
      </c>
      <c r="B104" s="29" t="s">
        <v>28</v>
      </c>
      <c r="C104" s="54" t="str">
        <f>'Invetario de Tablas'!B18</f>
        <v>registro_clinico</v>
      </c>
      <c r="D104" s="55"/>
      <c r="E104" s="55"/>
      <c r="F104" s="56"/>
      <c r="G104" s="57" t="s">
        <v>29</v>
      </c>
      <c r="H104" s="58"/>
      <c r="I104" s="58"/>
      <c r="J104" s="59"/>
      <c r="K104" s="60" t="str">
        <f>'Invetario de Tablas'!C18</f>
        <v>Historial sanitario de un apiario</v>
      </c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2"/>
      <c r="X104" s="21" t="s">
        <v>32</v>
      </c>
      <c r="Y104" s="22"/>
    </row>
    <row r="105" spans="1:25" ht="60" customHeight="1" x14ac:dyDescent="0.25">
      <c r="A105" s="23" t="s">
        <v>1</v>
      </c>
      <c r="B105" s="24" t="s">
        <v>33</v>
      </c>
      <c r="C105" s="52" t="s">
        <v>34</v>
      </c>
      <c r="D105" s="64"/>
      <c r="E105" s="64"/>
      <c r="F105" s="65"/>
      <c r="G105" s="52" t="s">
        <v>43</v>
      </c>
      <c r="H105" s="64"/>
      <c r="I105" s="64"/>
      <c r="J105" s="65"/>
      <c r="K105" s="52" t="s">
        <v>36</v>
      </c>
      <c r="L105" s="64"/>
      <c r="M105" s="64"/>
      <c r="N105" s="65"/>
      <c r="O105" s="52" t="s">
        <v>37</v>
      </c>
      <c r="P105" s="64"/>
      <c r="Q105" s="65"/>
      <c r="R105" s="52" t="s">
        <v>38</v>
      </c>
      <c r="S105" s="65"/>
      <c r="T105" s="52" t="s">
        <v>39</v>
      </c>
      <c r="U105" s="65"/>
      <c r="V105" s="52" t="s">
        <v>40</v>
      </c>
      <c r="W105" s="65"/>
      <c r="X105" s="52" t="s">
        <v>41</v>
      </c>
      <c r="Y105" s="53"/>
    </row>
    <row r="106" spans="1:25" ht="30" customHeight="1" x14ac:dyDescent="0.25">
      <c r="A106" s="37">
        <v>1</v>
      </c>
      <c r="B106" s="36" t="s">
        <v>236</v>
      </c>
      <c r="C106" s="46" t="s">
        <v>237</v>
      </c>
      <c r="D106" s="47"/>
      <c r="E106" s="47"/>
      <c r="F106" s="48"/>
      <c r="G106" s="67" t="s">
        <v>309</v>
      </c>
      <c r="H106" s="42"/>
      <c r="I106" s="42"/>
      <c r="J106" s="43"/>
      <c r="K106" s="46">
        <v>11</v>
      </c>
      <c r="L106" s="47"/>
      <c r="M106" s="47"/>
      <c r="N106" s="48"/>
      <c r="O106" s="46" t="s">
        <v>229</v>
      </c>
      <c r="P106" s="47"/>
      <c r="Q106" s="48"/>
      <c r="R106" s="49" t="s">
        <v>230</v>
      </c>
      <c r="S106" s="48"/>
      <c r="T106" s="46"/>
      <c r="U106" s="48"/>
      <c r="V106" s="49" t="s">
        <v>230</v>
      </c>
      <c r="W106" s="48"/>
      <c r="X106" s="50"/>
      <c r="Y106" s="51"/>
    </row>
    <row r="107" spans="1:25" ht="30" customHeight="1" x14ac:dyDescent="0.25">
      <c r="A107" s="37">
        <v>2</v>
      </c>
      <c r="B107" s="36" t="s">
        <v>155</v>
      </c>
      <c r="C107" s="46" t="s">
        <v>238</v>
      </c>
      <c r="D107" s="47"/>
      <c r="E107" s="47"/>
      <c r="F107" s="48"/>
      <c r="G107" s="67" t="s">
        <v>55</v>
      </c>
      <c r="H107" s="68"/>
      <c r="I107" s="68"/>
      <c r="J107" s="69"/>
      <c r="K107" s="46">
        <v>11</v>
      </c>
      <c r="L107" s="47"/>
      <c r="M107" s="47"/>
      <c r="N107" s="48"/>
      <c r="O107" s="46" t="s">
        <v>229</v>
      </c>
      <c r="P107" s="47"/>
      <c r="Q107" s="48"/>
      <c r="R107" s="46"/>
      <c r="S107" s="48"/>
      <c r="T107" s="49" t="s">
        <v>230</v>
      </c>
      <c r="U107" s="48"/>
      <c r="V107" s="46"/>
      <c r="W107" s="48"/>
      <c r="X107" s="50"/>
      <c r="Y107" s="51"/>
    </row>
    <row r="108" spans="1:25" ht="30" customHeight="1" x14ac:dyDescent="0.25">
      <c r="A108" s="37">
        <v>3</v>
      </c>
      <c r="B108" s="36" t="s">
        <v>147</v>
      </c>
      <c r="C108" s="46" t="s">
        <v>239</v>
      </c>
      <c r="D108" s="47"/>
      <c r="E108" s="47"/>
      <c r="F108" s="48"/>
      <c r="G108" s="49" t="s">
        <v>62</v>
      </c>
      <c r="H108" s="47"/>
      <c r="I108" s="47"/>
      <c r="J108" s="48"/>
      <c r="K108" s="46"/>
      <c r="L108" s="47"/>
      <c r="M108" s="47"/>
      <c r="N108" s="48"/>
      <c r="O108" s="46" t="s">
        <v>231</v>
      </c>
      <c r="P108" s="47"/>
      <c r="Q108" s="48"/>
      <c r="R108" s="46"/>
      <c r="S108" s="48"/>
      <c r="T108" s="46"/>
      <c r="U108" s="48"/>
      <c r="V108" s="46"/>
      <c r="W108" s="48"/>
      <c r="X108" s="50"/>
      <c r="Y108" s="51"/>
    </row>
    <row r="109" spans="1:25" ht="30" customHeight="1" x14ac:dyDescent="0.25">
      <c r="A109" s="37">
        <v>4</v>
      </c>
      <c r="B109" s="36" t="s">
        <v>240</v>
      </c>
      <c r="C109" s="46" t="s">
        <v>241</v>
      </c>
      <c r="D109" s="47"/>
      <c r="E109" s="47"/>
      <c r="F109" s="48"/>
      <c r="G109" s="49" t="s">
        <v>66</v>
      </c>
      <c r="H109" s="47"/>
      <c r="I109" s="47"/>
      <c r="J109" s="48"/>
      <c r="K109" s="46"/>
      <c r="L109" s="47"/>
      <c r="M109" s="47"/>
      <c r="N109" s="48"/>
      <c r="O109" s="46" t="s">
        <v>231</v>
      </c>
      <c r="P109" s="47"/>
      <c r="Q109" s="48"/>
      <c r="R109" s="46"/>
      <c r="S109" s="48"/>
      <c r="T109" s="46"/>
      <c r="U109" s="48"/>
      <c r="V109" s="46"/>
      <c r="W109" s="48"/>
      <c r="X109" s="50"/>
      <c r="Y109" s="51"/>
    </row>
    <row r="110" spans="1:25" ht="30" customHeight="1" x14ac:dyDescent="0.25">
      <c r="A110" s="37">
        <v>5</v>
      </c>
      <c r="B110" s="36" t="s">
        <v>242</v>
      </c>
      <c r="C110" s="46" t="s">
        <v>243</v>
      </c>
      <c r="D110" s="47"/>
      <c r="E110" s="47"/>
      <c r="F110" s="48"/>
      <c r="G110" s="49" t="s">
        <v>62</v>
      </c>
      <c r="H110" s="47"/>
      <c r="I110" s="47"/>
      <c r="J110" s="48"/>
      <c r="K110" s="46"/>
      <c r="L110" s="47"/>
      <c r="M110" s="47"/>
      <c r="N110" s="48"/>
      <c r="O110" s="46" t="s">
        <v>231</v>
      </c>
      <c r="P110" s="47"/>
      <c r="Q110" s="48"/>
      <c r="R110" s="46"/>
      <c r="S110" s="48"/>
      <c r="T110" s="46"/>
      <c r="U110" s="48"/>
      <c r="V110" s="46"/>
      <c r="W110" s="48"/>
      <c r="X110" s="50"/>
      <c r="Y110" s="51"/>
    </row>
    <row r="111" spans="1:25" ht="15.75" customHeight="1" thickBot="1" x14ac:dyDescent="0.3"/>
    <row r="112" spans="1:25" ht="54" customHeight="1" thickTop="1" x14ac:dyDescent="0.25">
      <c r="A112" s="20">
        <f>'Invetario de Tablas'!A19</f>
        <v>16</v>
      </c>
      <c r="B112" s="29" t="s">
        <v>28</v>
      </c>
      <c r="C112" s="54" t="str">
        <f>'Invetario de Tablas'!B19</f>
        <v>intercambio</v>
      </c>
      <c r="D112" s="55"/>
      <c r="E112" s="55"/>
      <c r="F112" s="56"/>
      <c r="G112" s="57" t="s">
        <v>29</v>
      </c>
      <c r="H112" s="58"/>
      <c r="I112" s="58"/>
      <c r="J112" s="59"/>
      <c r="K112" s="60" t="str">
        <f>'Invetario de Tablas'!C19</f>
        <v>Intercambio de bienes acordado por dos apicultores</v>
      </c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2"/>
      <c r="X112" s="21" t="s">
        <v>32</v>
      </c>
      <c r="Y112" s="22"/>
    </row>
    <row r="113" spans="1:25" ht="60" customHeight="1" x14ac:dyDescent="0.25">
      <c r="A113" s="23" t="s">
        <v>1</v>
      </c>
      <c r="B113" s="24" t="s">
        <v>33</v>
      </c>
      <c r="C113" s="52" t="s">
        <v>34</v>
      </c>
      <c r="D113" s="64"/>
      <c r="E113" s="64"/>
      <c r="F113" s="65"/>
      <c r="G113" s="52" t="s">
        <v>43</v>
      </c>
      <c r="H113" s="64"/>
      <c r="I113" s="64"/>
      <c r="J113" s="65"/>
      <c r="K113" s="52" t="s">
        <v>36</v>
      </c>
      <c r="L113" s="64"/>
      <c r="M113" s="64"/>
      <c r="N113" s="65"/>
      <c r="O113" s="52" t="s">
        <v>37</v>
      </c>
      <c r="P113" s="64"/>
      <c r="Q113" s="65"/>
      <c r="R113" s="52" t="s">
        <v>38</v>
      </c>
      <c r="S113" s="65"/>
      <c r="T113" s="52" t="s">
        <v>39</v>
      </c>
      <c r="U113" s="65"/>
      <c r="V113" s="52" t="s">
        <v>40</v>
      </c>
      <c r="W113" s="65"/>
      <c r="X113" s="52" t="s">
        <v>41</v>
      </c>
      <c r="Y113" s="53"/>
    </row>
    <row r="114" spans="1:25" ht="30" customHeight="1" x14ac:dyDescent="0.25">
      <c r="A114" s="37">
        <v>1</v>
      </c>
      <c r="B114" s="36" t="s">
        <v>244</v>
      </c>
      <c r="C114" s="46" t="s">
        <v>245</v>
      </c>
      <c r="D114" s="47"/>
      <c r="E114" s="47"/>
      <c r="F114" s="48"/>
      <c r="G114" s="67" t="s">
        <v>309</v>
      </c>
      <c r="H114" s="42"/>
      <c r="I114" s="42"/>
      <c r="J114" s="43"/>
      <c r="K114" s="46">
        <v>11</v>
      </c>
      <c r="L114" s="47"/>
      <c r="M114" s="47"/>
      <c r="N114" s="48"/>
      <c r="O114" s="46" t="s">
        <v>229</v>
      </c>
      <c r="P114" s="47"/>
      <c r="Q114" s="48"/>
      <c r="R114" s="49" t="s">
        <v>230</v>
      </c>
      <c r="S114" s="48"/>
      <c r="T114" s="46"/>
      <c r="U114" s="48"/>
      <c r="V114" s="49" t="s">
        <v>230</v>
      </c>
      <c r="W114" s="48"/>
      <c r="X114" s="50"/>
      <c r="Y114" s="51"/>
    </row>
    <row r="115" spans="1:25" ht="30" customHeight="1" x14ac:dyDescent="0.25">
      <c r="A115" s="37">
        <v>2</v>
      </c>
      <c r="B115" s="36" t="s">
        <v>164</v>
      </c>
      <c r="C115" s="46" t="s">
        <v>246</v>
      </c>
      <c r="D115" s="47"/>
      <c r="E115" s="47"/>
      <c r="F115" s="48"/>
      <c r="G115" s="49" t="s">
        <v>66</v>
      </c>
      <c r="H115" s="47"/>
      <c r="I115" s="47"/>
      <c r="J115" s="48"/>
      <c r="K115" s="46"/>
      <c r="L115" s="47"/>
      <c r="M115" s="47"/>
      <c r="N115" s="48"/>
      <c r="O115" s="46" t="s">
        <v>229</v>
      </c>
      <c r="P115" s="47"/>
      <c r="Q115" s="48"/>
      <c r="R115" s="46"/>
      <c r="S115" s="48"/>
      <c r="T115" s="46"/>
      <c r="U115" s="48"/>
      <c r="V115" s="46"/>
      <c r="W115" s="48"/>
      <c r="X115" s="50"/>
      <c r="Y115" s="51"/>
    </row>
    <row r="116" spans="1:25" ht="30" customHeight="1" x14ac:dyDescent="0.25">
      <c r="A116" s="37">
        <v>3</v>
      </c>
      <c r="B116" s="36" t="s">
        <v>147</v>
      </c>
      <c r="C116" s="46" t="s">
        <v>247</v>
      </c>
      <c r="D116" s="47"/>
      <c r="E116" s="47"/>
      <c r="F116" s="48"/>
      <c r="G116" s="49" t="s">
        <v>62</v>
      </c>
      <c r="H116" s="47"/>
      <c r="I116" s="47"/>
      <c r="J116" s="48"/>
      <c r="K116" s="46"/>
      <c r="L116" s="47"/>
      <c r="M116" s="47"/>
      <c r="N116" s="48"/>
      <c r="O116" s="46" t="s">
        <v>231</v>
      </c>
      <c r="P116" s="47"/>
      <c r="Q116" s="48"/>
      <c r="R116" s="46"/>
      <c r="S116" s="48"/>
      <c r="T116" s="46"/>
      <c r="U116" s="48"/>
      <c r="V116" s="46"/>
      <c r="W116" s="48"/>
      <c r="X116" s="50"/>
      <c r="Y116" s="51"/>
    </row>
    <row r="117" spans="1:25" ht="30" customHeight="1" x14ac:dyDescent="0.25">
      <c r="A117" s="37">
        <v>4</v>
      </c>
      <c r="B117" s="36" t="s">
        <v>248</v>
      </c>
      <c r="C117" s="46" t="s">
        <v>249</v>
      </c>
      <c r="D117" s="47"/>
      <c r="E117" s="47"/>
      <c r="F117" s="48"/>
      <c r="G117" s="49" t="s">
        <v>19</v>
      </c>
      <c r="H117" s="47"/>
      <c r="I117" s="47"/>
      <c r="J117" s="48"/>
      <c r="K117" s="46"/>
      <c r="L117" s="47"/>
      <c r="M117" s="47"/>
      <c r="N117" s="48"/>
      <c r="O117" s="46" t="s">
        <v>231</v>
      </c>
      <c r="P117" s="47"/>
      <c r="Q117" s="48"/>
      <c r="R117" s="46"/>
      <c r="S117" s="48"/>
      <c r="T117" s="46"/>
      <c r="U117" s="48"/>
      <c r="V117" s="46"/>
      <c r="W117" s="48"/>
      <c r="X117" s="50" t="s">
        <v>314</v>
      </c>
      <c r="Y117" s="51"/>
    </row>
    <row r="118" spans="1:25" ht="30" customHeight="1" x14ac:dyDescent="0.25">
      <c r="A118" s="37">
        <v>5</v>
      </c>
      <c r="B118" s="36" t="s">
        <v>250</v>
      </c>
      <c r="C118" s="46" t="s">
        <v>251</v>
      </c>
      <c r="D118" s="47"/>
      <c r="E118" s="47"/>
      <c r="F118" s="48"/>
      <c r="G118" s="49" t="s">
        <v>310</v>
      </c>
      <c r="H118" s="47"/>
      <c r="I118" s="47"/>
      <c r="J118" s="48"/>
      <c r="K118" s="46">
        <v>100</v>
      </c>
      <c r="L118" s="47"/>
      <c r="M118" s="47"/>
      <c r="N118" s="48"/>
      <c r="O118" s="46" t="s">
        <v>231</v>
      </c>
      <c r="P118" s="47"/>
      <c r="Q118" s="48"/>
      <c r="R118" s="46"/>
      <c r="S118" s="48"/>
      <c r="T118" s="46"/>
      <c r="U118" s="48"/>
      <c r="V118" s="46"/>
      <c r="W118" s="48"/>
      <c r="X118" s="50"/>
      <c r="Y118" s="51"/>
    </row>
    <row r="119" spans="1:25" ht="48" customHeight="1" thickBot="1" x14ac:dyDescent="0.3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 spans="1:25" ht="54" customHeight="1" thickTop="1" x14ac:dyDescent="0.25">
      <c r="A120" s="20">
        <f>'Invetario de Tablas'!A20</f>
        <v>17</v>
      </c>
      <c r="B120" s="29" t="s">
        <v>28</v>
      </c>
      <c r="C120" s="54" t="str">
        <f>'Invetario de Tablas'!B20</f>
        <v>detalle_intercambio</v>
      </c>
      <c r="D120" s="55"/>
      <c r="E120" s="55"/>
      <c r="F120" s="56"/>
      <c r="G120" s="57" t="s">
        <v>29</v>
      </c>
      <c r="H120" s="58"/>
      <c r="I120" s="58"/>
      <c r="J120" s="59"/>
      <c r="K120" s="60" t="str">
        <f>'Invetario de Tablas'!C20</f>
        <v>Detalle del intercambio de vienes que se realizo</v>
      </c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2"/>
      <c r="X120" s="21" t="s">
        <v>32</v>
      </c>
      <c r="Y120" s="22"/>
    </row>
    <row r="121" spans="1:25" ht="60" customHeight="1" x14ac:dyDescent="0.25">
      <c r="A121" s="23" t="s">
        <v>1</v>
      </c>
      <c r="B121" s="24" t="s">
        <v>33</v>
      </c>
      <c r="C121" s="52" t="s">
        <v>34</v>
      </c>
      <c r="D121" s="64"/>
      <c r="E121" s="64"/>
      <c r="F121" s="65"/>
      <c r="G121" s="52" t="s">
        <v>43</v>
      </c>
      <c r="H121" s="64"/>
      <c r="I121" s="64"/>
      <c r="J121" s="65"/>
      <c r="K121" s="52" t="s">
        <v>36</v>
      </c>
      <c r="L121" s="64"/>
      <c r="M121" s="64"/>
      <c r="N121" s="65"/>
      <c r="O121" s="52" t="s">
        <v>37</v>
      </c>
      <c r="P121" s="64"/>
      <c r="Q121" s="65"/>
      <c r="R121" s="52" t="s">
        <v>38</v>
      </c>
      <c r="S121" s="65"/>
      <c r="T121" s="52" t="s">
        <v>39</v>
      </c>
      <c r="U121" s="65"/>
      <c r="V121" s="52" t="s">
        <v>40</v>
      </c>
      <c r="W121" s="65"/>
      <c r="X121" s="52" t="s">
        <v>41</v>
      </c>
      <c r="Y121" s="53"/>
    </row>
    <row r="122" spans="1:25" ht="30" customHeight="1" x14ac:dyDescent="0.25">
      <c r="A122" s="37">
        <v>1</v>
      </c>
      <c r="B122" s="36" t="s">
        <v>252</v>
      </c>
      <c r="C122" s="46" t="s">
        <v>253</v>
      </c>
      <c r="D122" s="47"/>
      <c r="E122" s="47"/>
      <c r="F122" s="48"/>
      <c r="G122" s="67" t="s">
        <v>309</v>
      </c>
      <c r="H122" s="42"/>
      <c r="I122" s="42"/>
      <c r="J122" s="43"/>
      <c r="K122" s="46">
        <v>11</v>
      </c>
      <c r="L122" s="47"/>
      <c r="M122" s="47"/>
      <c r="N122" s="48"/>
      <c r="O122" s="46" t="s">
        <v>229</v>
      </c>
      <c r="P122" s="47"/>
      <c r="Q122" s="48"/>
      <c r="R122" s="49" t="s">
        <v>230</v>
      </c>
      <c r="S122" s="48"/>
      <c r="T122" s="46"/>
      <c r="U122" s="48"/>
      <c r="V122" s="49" t="s">
        <v>230</v>
      </c>
      <c r="W122" s="48"/>
      <c r="X122" s="50"/>
      <c r="Y122" s="51"/>
    </row>
    <row r="123" spans="1:25" ht="30" customHeight="1" x14ac:dyDescent="0.25">
      <c r="A123" s="37">
        <v>2</v>
      </c>
      <c r="B123" s="36" t="s">
        <v>244</v>
      </c>
      <c r="C123" s="46" t="s">
        <v>254</v>
      </c>
      <c r="D123" s="47"/>
      <c r="E123" s="47"/>
      <c r="F123" s="48"/>
      <c r="G123" s="67" t="s">
        <v>55</v>
      </c>
      <c r="H123" s="68"/>
      <c r="I123" s="68"/>
      <c r="J123" s="69"/>
      <c r="K123" s="46">
        <v>11</v>
      </c>
      <c r="L123" s="47"/>
      <c r="M123" s="47"/>
      <c r="N123" s="48"/>
      <c r="O123" s="46" t="s">
        <v>229</v>
      </c>
      <c r="P123" s="47"/>
      <c r="Q123" s="48"/>
      <c r="R123" s="46"/>
      <c r="S123" s="48"/>
      <c r="T123" s="49" t="s">
        <v>230</v>
      </c>
      <c r="U123" s="48"/>
      <c r="V123" s="46"/>
      <c r="W123" s="48"/>
      <c r="X123" s="50"/>
      <c r="Y123" s="51"/>
    </row>
    <row r="124" spans="1:25" ht="30" customHeight="1" x14ac:dyDescent="0.25">
      <c r="A124" s="37">
        <v>3</v>
      </c>
      <c r="B124" s="36" t="s">
        <v>89</v>
      </c>
      <c r="C124" s="46" t="s">
        <v>255</v>
      </c>
      <c r="D124" s="47"/>
      <c r="E124" s="47"/>
      <c r="F124" s="48"/>
      <c r="G124" s="49" t="s">
        <v>310</v>
      </c>
      <c r="H124" s="47"/>
      <c r="I124" s="47"/>
      <c r="J124" s="48"/>
      <c r="K124" s="46">
        <v>50</v>
      </c>
      <c r="L124" s="47"/>
      <c r="M124" s="47"/>
      <c r="N124" s="48"/>
      <c r="O124" s="46" t="s">
        <v>229</v>
      </c>
      <c r="P124" s="47"/>
      <c r="Q124" s="48"/>
      <c r="R124" s="46"/>
      <c r="S124" s="48"/>
      <c r="T124" s="46"/>
      <c r="U124" s="48"/>
      <c r="V124" s="46"/>
      <c r="W124" s="48"/>
      <c r="X124" s="50"/>
      <c r="Y124" s="51"/>
    </row>
    <row r="125" spans="1:25" ht="30" customHeight="1" x14ac:dyDescent="0.25">
      <c r="A125" s="37">
        <v>4</v>
      </c>
      <c r="B125" s="36" t="s">
        <v>176</v>
      </c>
      <c r="C125" s="46" t="s">
        <v>256</v>
      </c>
      <c r="D125" s="47"/>
      <c r="E125" s="47"/>
      <c r="F125" s="48"/>
      <c r="G125" s="67" t="s">
        <v>55</v>
      </c>
      <c r="H125" s="68"/>
      <c r="I125" s="68"/>
      <c r="J125" s="69"/>
      <c r="K125" s="46">
        <v>11</v>
      </c>
      <c r="L125" s="47"/>
      <c r="M125" s="47"/>
      <c r="N125" s="48"/>
      <c r="O125" s="46" t="s">
        <v>229</v>
      </c>
      <c r="P125" s="47"/>
      <c r="Q125" s="48"/>
      <c r="R125" s="46"/>
      <c r="S125" s="48"/>
      <c r="T125" s="46"/>
      <c r="U125" s="48"/>
      <c r="V125" s="46"/>
      <c r="W125" s="48"/>
      <c r="X125" s="50"/>
      <c r="Y125" s="51"/>
    </row>
    <row r="126" spans="1:25" ht="48" customHeight="1" thickBot="1" x14ac:dyDescent="0.3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 spans="1:25" ht="54" customHeight="1" thickTop="1" x14ac:dyDescent="0.25">
      <c r="A127" s="20">
        <f>'Invetario de Tablas'!A21</f>
        <v>18</v>
      </c>
      <c r="B127" s="29" t="s">
        <v>28</v>
      </c>
      <c r="C127" s="54" t="str">
        <f>'Invetario de Tablas'!B21</f>
        <v>mercado</v>
      </c>
      <c r="D127" s="55"/>
      <c r="E127" s="55"/>
      <c r="F127" s="56"/>
      <c r="G127" s="57" t="s">
        <v>29</v>
      </c>
      <c r="H127" s="58"/>
      <c r="I127" s="58"/>
      <c r="J127" s="59"/>
      <c r="K127" s="60" t="str">
        <f>'Invetario de Tablas'!C21</f>
        <v>Mercado o lugar fisico/virtual donde se hacen las compra y ventas de los productos apicolas</v>
      </c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2"/>
      <c r="X127" s="21" t="s">
        <v>32</v>
      </c>
      <c r="Y127" s="22"/>
    </row>
    <row r="128" spans="1:25" ht="60" customHeight="1" x14ac:dyDescent="0.25">
      <c r="A128" s="23" t="s">
        <v>1</v>
      </c>
      <c r="B128" s="24" t="s">
        <v>33</v>
      </c>
      <c r="C128" s="52" t="s">
        <v>34</v>
      </c>
      <c r="D128" s="64"/>
      <c r="E128" s="64"/>
      <c r="F128" s="65"/>
      <c r="G128" s="52" t="s">
        <v>43</v>
      </c>
      <c r="H128" s="64"/>
      <c r="I128" s="64"/>
      <c r="J128" s="65"/>
      <c r="K128" s="52" t="s">
        <v>36</v>
      </c>
      <c r="L128" s="64"/>
      <c r="M128" s="64"/>
      <c r="N128" s="65"/>
      <c r="O128" s="52" t="s">
        <v>37</v>
      </c>
      <c r="P128" s="64"/>
      <c r="Q128" s="65"/>
      <c r="R128" s="52" t="s">
        <v>38</v>
      </c>
      <c r="S128" s="65"/>
      <c r="T128" s="52" t="s">
        <v>39</v>
      </c>
      <c r="U128" s="65"/>
      <c r="V128" s="52" t="s">
        <v>40</v>
      </c>
      <c r="W128" s="65"/>
      <c r="X128" s="52" t="s">
        <v>41</v>
      </c>
      <c r="Y128" s="53"/>
    </row>
    <row r="129" spans="1:25" ht="30" customHeight="1" x14ac:dyDescent="0.25">
      <c r="A129" s="37">
        <v>1</v>
      </c>
      <c r="B129" s="36" t="s">
        <v>257</v>
      </c>
      <c r="C129" s="46" t="s">
        <v>258</v>
      </c>
      <c r="D129" s="47"/>
      <c r="E129" s="47"/>
      <c r="F129" s="48"/>
      <c r="G129" s="67" t="s">
        <v>309</v>
      </c>
      <c r="H129" s="42"/>
      <c r="I129" s="42"/>
      <c r="J129" s="43"/>
      <c r="K129" s="46">
        <v>11</v>
      </c>
      <c r="L129" s="47"/>
      <c r="M129" s="47"/>
      <c r="N129" s="48"/>
      <c r="O129" s="46" t="s">
        <v>229</v>
      </c>
      <c r="P129" s="47"/>
      <c r="Q129" s="48"/>
      <c r="R129" s="49" t="s">
        <v>230</v>
      </c>
      <c r="S129" s="48"/>
      <c r="T129" s="46"/>
      <c r="U129" s="48"/>
      <c r="V129" s="49" t="s">
        <v>230</v>
      </c>
      <c r="W129" s="48"/>
      <c r="X129" s="50"/>
      <c r="Y129" s="51"/>
    </row>
    <row r="130" spans="1:25" ht="30" customHeight="1" x14ac:dyDescent="0.25">
      <c r="A130" s="37">
        <v>2</v>
      </c>
      <c r="B130" s="36" t="s">
        <v>146</v>
      </c>
      <c r="C130" s="46" t="s">
        <v>259</v>
      </c>
      <c r="D130" s="47"/>
      <c r="E130" s="47"/>
      <c r="F130" s="48"/>
      <c r="G130" s="49" t="s">
        <v>310</v>
      </c>
      <c r="H130" s="47"/>
      <c r="I130" s="47"/>
      <c r="J130" s="48"/>
      <c r="K130" s="46">
        <v>100</v>
      </c>
      <c r="L130" s="47"/>
      <c r="M130" s="47"/>
      <c r="N130" s="48"/>
      <c r="O130" s="46" t="s">
        <v>229</v>
      </c>
      <c r="P130" s="47"/>
      <c r="Q130" s="48"/>
      <c r="R130" s="46"/>
      <c r="S130" s="48"/>
      <c r="T130" s="46"/>
      <c r="U130" s="48"/>
      <c r="V130" s="46"/>
      <c r="W130" s="48"/>
      <c r="X130" s="50"/>
      <c r="Y130" s="51"/>
    </row>
    <row r="131" spans="1:25" ht="30" customHeight="1" x14ac:dyDescent="0.25">
      <c r="A131" s="37">
        <v>3</v>
      </c>
      <c r="B131" s="36" t="s">
        <v>147</v>
      </c>
      <c r="C131" s="46" t="s">
        <v>260</v>
      </c>
      <c r="D131" s="47"/>
      <c r="E131" s="47"/>
      <c r="F131" s="48"/>
      <c r="G131" s="49" t="s">
        <v>62</v>
      </c>
      <c r="H131" s="47"/>
      <c r="I131" s="47"/>
      <c r="J131" s="48"/>
      <c r="K131" s="46"/>
      <c r="L131" s="47"/>
      <c r="M131" s="47"/>
      <c r="N131" s="48"/>
      <c r="O131" s="46" t="s">
        <v>231</v>
      </c>
      <c r="P131" s="47"/>
      <c r="Q131" s="48"/>
      <c r="R131" s="46"/>
      <c r="S131" s="48"/>
      <c r="T131" s="46"/>
      <c r="U131" s="48"/>
      <c r="V131" s="46"/>
      <c r="W131" s="48"/>
      <c r="X131" s="50"/>
      <c r="Y131" s="51"/>
    </row>
    <row r="132" spans="1:25" ht="30" customHeight="1" x14ac:dyDescent="0.25">
      <c r="A132" s="37">
        <v>4</v>
      </c>
      <c r="B132" s="36" t="s">
        <v>261</v>
      </c>
      <c r="C132" s="46" t="s">
        <v>262</v>
      </c>
      <c r="D132" s="47"/>
      <c r="E132" s="47"/>
      <c r="F132" s="48"/>
      <c r="G132" s="49" t="s">
        <v>310</v>
      </c>
      <c r="H132" s="47"/>
      <c r="I132" s="47"/>
      <c r="J132" s="48"/>
      <c r="K132" s="46">
        <v>100</v>
      </c>
      <c r="L132" s="47"/>
      <c r="M132" s="47"/>
      <c r="N132" s="48"/>
      <c r="O132" s="46" t="s">
        <v>231</v>
      </c>
      <c r="P132" s="47"/>
      <c r="Q132" s="48"/>
      <c r="R132" s="46"/>
      <c r="S132" s="48"/>
      <c r="T132" s="46"/>
      <c r="U132" s="48"/>
      <c r="V132" s="46"/>
      <c r="W132" s="48"/>
      <c r="X132" s="50"/>
      <c r="Y132" s="51"/>
    </row>
    <row r="133" spans="1:25" ht="48" customHeight="1" thickBot="1" x14ac:dyDescent="0.3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 spans="1:25" ht="54" customHeight="1" thickTop="1" x14ac:dyDescent="0.25">
      <c r="A134" s="20">
        <f>'Invetario de Tablas'!A22</f>
        <v>19</v>
      </c>
      <c r="B134" s="29" t="s">
        <v>28</v>
      </c>
      <c r="C134" s="54" t="str">
        <f>'Invetario de Tablas'!B22</f>
        <v>gestion</v>
      </c>
      <c r="D134" s="55"/>
      <c r="E134" s="55"/>
      <c r="F134" s="56"/>
      <c r="G134" s="57" t="s">
        <v>29</v>
      </c>
      <c r="H134" s="58"/>
      <c r="I134" s="58"/>
      <c r="J134" s="59"/>
      <c r="K134" s="60" t="str">
        <f>'Invetario de Tablas'!C22</f>
        <v>Registro administrativo</v>
      </c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2"/>
      <c r="X134" s="21" t="s">
        <v>32</v>
      </c>
      <c r="Y134" s="22"/>
    </row>
    <row r="135" spans="1:25" ht="60" customHeight="1" x14ac:dyDescent="0.25">
      <c r="A135" s="23" t="s">
        <v>1</v>
      </c>
      <c r="B135" s="24" t="s">
        <v>33</v>
      </c>
      <c r="C135" s="52" t="s">
        <v>34</v>
      </c>
      <c r="D135" s="64"/>
      <c r="E135" s="64"/>
      <c r="F135" s="65"/>
      <c r="G135" s="52" t="s">
        <v>43</v>
      </c>
      <c r="H135" s="64"/>
      <c r="I135" s="64"/>
      <c r="J135" s="65"/>
      <c r="K135" s="52" t="s">
        <v>36</v>
      </c>
      <c r="L135" s="64"/>
      <c r="M135" s="64"/>
      <c r="N135" s="65"/>
      <c r="O135" s="52" t="s">
        <v>37</v>
      </c>
      <c r="P135" s="64"/>
      <c r="Q135" s="65"/>
      <c r="R135" s="52" t="s">
        <v>38</v>
      </c>
      <c r="S135" s="65"/>
      <c r="T135" s="52" t="s">
        <v>39</v>
      </c>
      <c r="U135" s="65"/>
      <c r="V135" s="52" t="s">
        <v>40</v>
      </c>
      <c r="W135" s="65"/>
      <c r="X135" s="52" t="s">
        <v>41</v>
      </c>
      <c r="Y135" s="53"/>
    </row>
    <row r="136" spans="1:25" ht="30" customHeight="1" x14ac:dyDescent="0.3">
      <c r="A136" s="37">
        <v>1</v>
      </c>
      <c r="B136" s="36" t="s">
        <v>263</v>
      </c>
      <c r="C136" s="46" t="s">
        <v>264</v>
      </c>
      <c r="D136" s="47"/>
      <c r="E136" s="47"/>
      <c r="F136" s="48"/>
      <c r="G136" s="67" t="s">
        <v>309</v>
      </c>
      <c r="H136" s="42"/>
      <c r="I136" s="42"/>
      <c r="J136" s="43"/>
      <c r="K136" s="46">
        <v>11</v>
      </c>
      <c r="L136" s="47"/>
      <c r="M136" s="47"/>
      <c r="N136" s="48"/>
      <c r="O136" s="46" t="s">
        <v>229</v>
      </c>
      <c r="P136" s="47"/>
      <c r="Q136" s="48"/>
      <c r="R136" s="66" t="s">
        <v>230</v>
      </c>
      <c r="S136" s="48"/>
      <c r="T136" s="46"/>
      <c r="U136" s="48"/>
      <c r="V136" s="66" t="s">
        <v>230</v>
      </c>
      <c r="W136" s="48"/>
      <c r="X136" s="50"/>
      <c r="Y136" s="51"/>
    </row>
    <row r="137" spans="1:25" ht="30" customHeight="1" x14ac:dyDescent="0.3">
      <c r="A137" s="37">
        <v>2</v>
      </c>
      <c r="B137" s="36" t="s">
        <v>145</v>
      </c>
      <c r="C137" s="46" t="s">
        <v>265</v>
      </c>
      <c r="D137" s="47"/>
      <c r="E137" s="47"/>
      <c r="F137" s="48"/>
      <c r="G137" s="67" t="s">
        <v>55</v>
      </c>
      <c r="H137" s="68"/>
      <c r="I137" s="68"/>
      <c r="J137" s="69"/>
      <c r="K137" s="46">
        <v>11</v>
      </c>
      <c r="L137" s="47"/>
      <c r="M137" s="47"/>
      <c r="N137" s="48"/>
      <c r="O137" s="46" t="s">
        <v>229</v>
      </c>
      <c r="P137" s="47"/>
      <c r="Q137" s="48"/>
      <c r="R137" s="46"/>
      <c r="S137" s="48"/>
      <c r="T137" s="66" t="s">
        <v>230</v>
      </c>
      <c r="U137" s="48"/>
      <c r="V137" s="46"/>
      <c r="W137" s="48"/>
      <c r="X137" s="50"/>
      <c r="Y137" s="51"/>
    </row>
    <row r="138" spans="1:25" ht="30" customHeight="1" x14ac:dyDescent="0.25">
      <c r="A138" s="37">
        <v>3</v>
      </c>
      <c r="B138" s="36" t="s">
        <v>147</v>
      </c>
      <c r="C138" s="46" t="s">
        <v>266</v>
      </c>
      <c r="D138" s="47"/>
      <c r="E138" s="47"/>
      <c r="F138" s="48"/>
      <c r="G138" s="49" t="s">
        <v>62</v>
      </c>
      <c r="H138" s="47"/>
      <c r="I138" s="47"/>
      <c r="J138" s="48"/>
      <c r="K138" s="46"/>
      <c r="L138" s="47"/>
      <c r="M138" s="47"/>
      <c r="N138" s="48"/>
      <c r="O138" s="46" t="s">
        <v>231</v>
      </c>
      <c r="P138" s="47"/>
      <c r="Q138" s="48"/>
      <c r="R138" s="46"/>
      <c r="S138" s="48"/>
      <c r="T138" s="46"/>
      <c r="U138" s="48"/>
      <c r="V138" s="46"/>
      <c r="W138" s="48"/>
      <c r="X138" s="50"/>
      <c r="Y138" s="51"/>
    </row>
    <row r="139" spans="1:25" ht="30" customHeight="1" x14ac:dyDescent="0.25">
      <c r="A139" s="37">
        <v>4</v>
      </c>
      <c r="B139" s="36" t="s">
        <v>164</v>
      </c>
      <c r="C139" s="46" t="s">
        <v>267</v>
      </c>
      <c r="D139" s="47"/>
      <c r="E139" s="47"/>
      <c r="F139" s="48"/>
      <c r="G139" s="46" t="s">
        <v>66</v>
      </c>
      <c r="H139" s="47"/>
      <c r="I139" s="47"/>
      <c r="J139" s="48"/>
      <c r="K139" s="46"/>
      <c r="L139" s="47"/>
      <c r="M139" s="47"/>
      <c r="N139" s="48"/>
      <c r="O139" s="46" t="s">
        <v>229</v>
      </c>
      <c r="P139" s="47"/>
      <c r="Q139" s="48"/>
      <c r="R139" s="46"/>
      <c r="S139" s="48"/>
      <c r="T139" s="46"/>
      <c r="U139" s="48"/>
      <c r="V139" s="46"/>
      <c r="W139" s="48"/>
      <c r="X139" s="50"/>
      <c r="Y139" s="51"/>
    </row>
    <row r="140" spans="1:25" ht="30" customHeight="1" x14ac:dyDescent="0.25">
      <c r="A140" s="37">
        <v>5</v>
      </c>
      <c r="B140" s="36" t="s">
        <v>268</v>
      </c>
      <c r="C140" s="46" t="s">
        <v>200</v>
      </c>
      <c r="D140" s="47"/>
      <c r="E140" s="47"/>
      <c r="F140" s="48"/>
      <c r="G140" s="46" t="s">
        <v>310</v>
      </c>
      <c r="H140" s="47"/>
      <c r="I140" s="47"/>
      <c r="J140" s="48"/>
      <c r="K140" s="46">
        <v>50</v>
      </c>
      <c r="L140" s="47"/>
      <c r="M140" s="47"/>
      <c r="N140" s="48"/>
      <c r="O140" s="46" t="s">
        <v>229</v>
      </c>
      <c r="P140" s="47"/>
      <c r="Q140" s="48"/>
      <c r="R140" s="46"/>
      <c r="S140" s="48"/>
      <c r="T140" s="46"/>
      <c r="U140" s="48"/>
      <c r="V140" s="46"/>
      <c r="W140" s="48"/>
      <c r="X140" s="50"/>
      <c r="Y140" s="51"/>
    </row>
    <row r="141" spans="1:25" ht="48" customHeight="1" thickBot="1" x14ac:dyDescent="0.3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 spans="1:25" ht="54" customHeight="1" thickTop="1" x14ac:dyDescent="0.25">
      <c r="A142" s="20">
        <f>'Invetario de Tablas'!A23</f>
        <v>20</v>
      </c>
      <c r="B142" s="29" t="s">
        <v>28</v>
      </c>
      <c r="C142" s="54" t="str">
        <f>'Invetario de Tablas'!B23</f>
        <v>empleo</v>
      </c>
      <c r="D142" s="55"/>
      <c r="E142" s="55"/>
      <c r="F142" s="56"/>
      <c r="G142" s="57" t="s">
        <v>29</v>
      </c>
      <c r="H142" s="58"/>
      <c r="I142" s="58"/>
      <c r="J142" s="59"/>
      <c r="K142" s="60" t="str">
        <f>'Invetario de Tablas'!C23</f>
        <v>Publicación de oportunidades laborales</v>
      </c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2"/>
      <c r="X142" s="21" t="s">
        <v>32</v>
      </c>
      <c r="Y142" s="22"/>
    </row>
    <row r="143" spans="1:25" ht="60" customHeight="1" x14ac:dyDescent="0.25">
      <c r="A143" s="23" t="s">
        <v>1</v>
      </c>
      <c r="B143" s="24" t="s">
        <v>33</v>
      </c>
      <c r="C143" s="52" t="s">
        <v>34</v>
      </c>
      <c r="D143" s="64"/>
      <c r="E143" s="64"/>
      <c r="F143" s="65"/>
      <c r="G143" s="52" t="s">
        <v>43</v>
      </c>
      <c r="H143" s="64"/>
      <c r="I143" s="64"/>
      <c r="J143" s="65"/>
      <c r="K143" s="52" t="s">
        <v>36</v>
      </c>
      <c r="L143" s="64"/>
      <c r="M143" s="64"/>
      <c r="N143" s="65"/>
      <c r="O143" s="52" t="s">
        <v>37</v>
      </c>
      <c r="P143" s="64"/>
      <c r="Q143" s="65"/>
      <c r="R143" s="52" t="s">
        <v>38</v>
      </c>
      <c r="S143" s="65"/>
      <c r="T143" s="52" t="s">
        <v>39</v>
      </c>
      <c r="U143" s="65"/>
      <c r="V143" s="52" t="s">
        <v>40</v>
      </c>
      <c r="W143" s="65"/>
      <c r="X143" s="52" t="s">
        <v>41</v>
      </c>
      <c r="Y143" s="53"/>
    </row>
    <row r="144" spans="1:25" ht="30" customHeight="1" x14ac:dyDescent="0.3">
      <c r="A144" s="37">
        <v>1</v>
      </c>
      <c r="B144" s="36" t="s">
        <v>269</v>
      </c>
      <c r="C144" s="46" t="s">
        <v>270</v>
      </c>
      <c r="D144" s="47"/>
      <c r="E144" s="47"/>
      <c r="F144" s="48"/>
      <c r="G144" s="67" t="s">
        <v>309</v>
      </c>
      <c r="H144" s="42"/>
      <c r="I144" s="42"/>
      <c r="J144" s="43"/>
      <c r="K144" s="46">
        <v>11</v>
      </c>
      <c r="L144" s="47"/>
      <c r="M144" s="47"/>
      <c r="N144" s="48"/>
      <c r="O144" s="46" t="s">
        <v>229</v>
      </c>
      <c r="P144" s="47"/>
      <c r="Q144" s="48"/>
      <c r="R144" s="66" t="s">
        <v>230</v>
      </c>
      <c r="S144" s="48"/>
      <c r="T144" s="46"/>
      <c r="U144" s="48"/>
      <c r="V144" s="66" t="s">
        <v>230</v>
      </c>
      <c r="W144" s="48"/>
      <c r="X144" s="50"/>
      <c r="Y144" s="51"/>
    </row>
    <row r="145" spans="1:25" ht="30" customHeight="1" x14ac:dyDescent="0.3">
      <c r="A145" s="37">
        <v>2</v>
      </c>
      <c r="B145" s="36" t="s">
        <v>145</v>
      </c>
      <c r="C145" s="46" t="s">
        <v>271</v>
      </c>
      <c r="D145" s="47"/>
      <c r="E145" s="47"/>
      <c r="F145" s="48"/>
      <c r="G145" s="67" t="s">
        <v>55</v>
      </c>
      <c r="H145" s="68"/>
      <c r="I145" s="68"/>
      <c r="J145" s="69"/>
      <c r="K145" s="46">
        <v>11</v>
      </c>
      <c r="L145" s="47"/>
      <c r="M145" s="47"/>
      <c r="N145" s="48"/>
      <c r="O145" s="46" t="s">
        <v>229</v>
      </c>
      <c r="P145" s="47"/>
      <c r="Q145" s="48"/>
      <c r="R145" s="46"/>
      <c r="S145" s="48"/>
      <c r="T145" s="66" t="s">
        <v>230</v>
      </c>
      <c r="U145" s="48"/>
      <c r="V145" s="46"/>
      <c r="W145" s="48"/>
      <c r="X145" s="50"/>
      <c r="Y145" s="51"/>
    </row>
    <row r="146" spans="1:25" ht="30" customHeight="1" x14ac:dyDescent="0.25">
      <c r="A146" s="37">
        <v>3</v>
      </c>
      <c r="B146" s="36" t="s">
        <v>272</v>
      </c>
      <c r="C146" s="46" t="s">
        <v>273</v>
      </c>
      <c r="D146" s="47"/>
      <c r="E146" s="47"/>
      <c r="F146" s="48"/>
      <c r="G146" s="49" t="s">
        <v>310</v>
      </c>
      <c r="H146" s="47"/>
      <c r="I146" s="47"/>
      <c r="J146" s="48"/>
      <c r="K146" s="46">
        <v>100</v>
      </c>
      <c r="L146" s="47"/>
      <c r="M146" s="47"/>
      <c r="N146" s="48"/>
      <c r="O146" s="46" t="s">
        <v>229</v>
      </c>
      <c r="P146" s="47"/>
      <c r="Q146" s="48"/>
      <c r="R146" s="46"/>
      <c r="S146" s="48"/>
      <c r="T146" s="46"/>
      <c r="U146" s="48"/>
      <c r="V146" s="46"/>
      <c r="W146" s="48"/>
      <c r="X146" s="50"/>
      <c r="Y146" s="51"/>
    </row>
    <row r="147" spans="1:25" ht="30" customHeight="1" x14ac:dyDescent="0.25">
      <c r="A147" s="37">
        <v>4</v>
      </c>
      <c r="B147" s="36" t="s">
        <v>147</v>
      </c>
      <c r="C147" s="46" t="s">
        <v>274</v>
      </c>
      <c r="D147" s="47"/>
      <c r="E147" s="47"/>
      <c r="F147" s="48"/>
      <c r="G147" s="49" t="s">
        <v>62</v>
      </c>
      <c r="H147" s="47"/>
      <c r="I147" s="47"/>
      <c r="J147" s="48"/>
      <c r="K147" s="46"/>
      <c r="L147" s="47"/>
      <c r="M147" s="47"/>
      <c r="N147" s="48"/>
      <c r="O147" s="46" t="s">
        <v>231</v>
      </c>
      <c r="P147" s="47"/>
      <c r="Q147" s="48"/>
      <c r="R147" s="46"/>
      <c r="S147" s="48"/>
      <c r="T147" s="46"/>
      <c r="U147" s="48"/>
      <c r="V147" s="46"/>
      <c r="W147" s="48"/>
      <c r="X147" s="50"/>
      <c r="Y147" s="51"/>
    </row>
    <row r="148" spans="1:25" ht="30" customHeight="1" x14ac:dyDescent="0.25">
      <c r="A148" s="37">
        <v>5</v>
      </c>
      <c r="B148" s="36" t="s">
        <v>275</v>
      </c>
      <c r="C148" s="46" t="s">
        <v>276</v>
      </c>
      <c r="D148" s="47"/>
      <c r="E148" s="47"/>
      <c r="F148" s="48"/>
      <c r="G148" s="46" t="s">
        <v>66</v>
      </c>
      <c r="H148" s="47"/>
      <c r="I148" s="47"/>
      <c r="J148" s="48"/>
      <c r="K148" s="46"/>
      <c r="L148" s="47"/>
      <c r="M148" s="47"/>
      <c r="N148" s="48"/>
      <c r="O148" s="46" t="s">
        <v>229</v>
      </c>
      <c r="P148" s="47"/>
      <c r="Q148" s="48"/>
      <c r="R148" s="46"/>
      <c r="S148" s="48"/>
      <c r="T148" s="46"/>
      <c r="U148" s="48"/>
      <c r="V148" s="46"/>
      <c r="W148" s="48"/>
      <c r="X148" s="50"/>
      <c r="Y148" s="51"/>
    </row>
    <row r="149" spans="1:25" ht="48" customHeight="1" thickBot="1" x14ac:dyDescent="0.3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 spans="1:25" ht="54" customHeight="1" thickTop="1" x14ac:dyDescent="0.25">
      <c r="A150" s="20">
        <f>'Invetario de Tablas'!A24</f>
        <v>21</v>
      </c>
      <c r="B150" s="29" t="s">
        <v>28</v>
      </c>
      <c r="C150" s="54" t="str">
        <f>'Invetario de Tablas'!B24</f>
        <v>investigacion</v>
      </c>
      <c r="D150" s="55"/>
      <c r="E150" s="55"/>
      <c r="F150" s="56"/>
      <c r="G150" s="57" t="s">
        <v>29</v>
      </c>
      <c r="H150" s="58"/>
      <c r="I150" s="58"/>
      <c r="J150" s="59"/>
      <c r="K150" s="60" t="str">
        <f>'Invetario de Tablas'!C24</f>
        <v>Documento o publicación que contiene información técnica o científica</v>
      </c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2"/>
      <c r="X150" s="21" t="s">
        <v>32</v>
      </c>
      <c r="Y150" s="22"/>
    </row>
    <row r="151" spans="1:25" ht="60" customHeight="1" x14ac:dyDescent="0.25">
      <c r="A151" s="23" t="s">
        <v>1</v>
      </c>
      <c r="B151" s="24" t="s">
        <v>33</v>
      </c>
      <c r="C151" s="52" t="s">
        <v>34</v>
      </c>
      <c r="D151" s="64"/>
      <c r="E151" s="64"/>
      <c r="F151" s="65"/>
      <c r="G151" s="52" t="s">
        <v>43</v>
      </c>
      <c r="H151" s="64"/>
      <c r="I151" s="64"/>
      <c r="J151" s="65"/>
      <c r="K151" s="52" t="s">
        <v>36</v>
      </c>
      <c r="L151" s="64"/>
      <c r="M151" s="64"/>
      <c r="N151" s="65"/>
      <c r="O151" s="52" t="s">
        <v>37</v>
      </c>
      <c r="P151" s="64"/>
      <c r="Q151" s="65"/>
      <c r="R151" s="52" t="s">
        <v>38</v>
      </c>
      <c r="S151" s="65"/>
      <c r="T151" s="52" t="s">
        <v>39</v>
      </c>
      <c r="U151" s="65"/>
      <c r="V151" s="52" t="s">
        <v>40</v>
      </c>
      <c r="W151" s="65"/>
      <c r="X151" s="52" t="s">
        <v>41</v>
      </c>
      <c r="Y151" s="53"/>
    </row>
    <row r="152" spans="1:25" ht="30" customHeight="1" x14ac:dyDescent="0.3">
      <c r="A152" s="37">
        <v>1</v>
      </c>
      <c r="B152" s="36" t="s">
        <v>277</v>
      </c>
      <c r="C152" s="46" t="s">
        <v>278</v>
      </c>
      <c r="D152" s="47"/>
      <c r="E152" s="47"/>
      <c r="F152" s="48"/>
      <c r="G152" s="67" t="s">
        <v>309</v>
      </c>
      <c r="H152" s="42"/>
      <c r="I152" s="42"/>
      <c r="J152" s="43"/>
      <c r="K152" s="46">
        <v>11</v>
      </c>
      <c r="L152" s="47"/>
      <c r="M152" s="47"/>
      <c r="N152" s="48"/>
      <c r="O152" s="46" t="s">
        <v>229</v>
      </c>
      <c r="P152" s="47"/>
      <c r="Q152" s="48"/>
      <c r="R152" s="66" t="s">
        <v>230</v>
      </c>
      <c r="S152" s="48"/>
      <c r="T152" s="46"/>
      <c r="U152" s="48"/>
      <c r="V152" s="66" t="s">
        <v>230</v>
      </c>
      <c r="W152" s="48"/>
      <c r="X152" s="50"/>
      <c r="Y152" s="51"/>
    </row>
    <row r="153" spans="1:25" ht="30" customHeight="1" x14ac:dyDescent="0.3">
      <c r="A153" s="37">
        <v>2</v>
      </c>
      <c r="B153" s="36" t="s">
        <v>201</v>
      </c>
      <c r="C153" s="46" t="s">
        <v>319</v>
      </c>
      <c r="D153" s="47"/>
      <c r="E153" s="47"/>
      <c r="F153" s="48"/>
      <c r="G153" s="67" t="s">
        <v>55</v>
      </c>
      <c r="H153" s="68"/>
      <c r="I153" s="68"/>
      <c r="J153" s="69"/>
      <c r="K153" s="46">
        <v>11</v>
      </c>
      <c r="L153" s="47"/>
      <c r="M153" s="47"/>
      <c r="N153" s="48"/>
      <c r="O153" s="46" t="s">
        <v>229</v>
      </c>
      <c r="P153" s="47"/>
      <c r="Q153" s="48"/>
      <c r="R153" s="46"/>
      <c r="S153" s="48"/>
      <c r="T153" s="66" t="s">
        <v>230</v>
      </c>
      <c r="U153" s="48"/>
      <c r="V153" s="46"/>
      <c r="W153" s="48"/>
      <c r="X153" s="50"/>
      <c r="Y153" s="51"/>
    </row>
    <row r="154" spans="1:25" ht="30" customHeight="1" x14ac:dyDescent="0.25">
      <c r="A154" s="37">
        <v>3</v>
      </c>
      <c r="B154" s="36" t="s">
        <v>272</v>
      </c>
      <c r="C154" s="46" t="s">
        <v>279</v>
      </c>
      <c r="D154" s="47"/>
      <c r="E154" s="47"/>
      <c r="F154" s="48"/>
      <c r="G154" s="49" t="s">
        <v>310</v>
      </c>
      <c r="H154" s="47"/>
      <c r="I154" s="47"/>
      <c r="J154" s="48"/>
      <c r="K154" s="46">
        <v>100</v>
      </c>
      <c r="L154" s="47"/>
      <c r="M154" s="47"/>
      <c r="N154" s="48"/>
      <c r="O154" s="46" t="s">
        <v>229</v>
      </c>
      <c r="P154" s="47"/>
      <c r="Q154" s="48"/>
      <c r="R154" s="46"/>
      <c r="S154" s="48"/>
      <c r="T154" s="46"/>
      <c r="U154" s="48"/>
      <c r="V154" s="46"/>
      <c r="W154" s="48"/>
      <c r="X154" s="50"/>
      <c r="Y154" s="51"/>
    </row>
    <row r="155" spans="1:25" ht="30" customHeight="1" x14ac:dyDescent="0.25">
      <c r="A155" s="37">
        <v>4</v>
      </c>
      <c r="B155" s="36" t="s">
        <v>147</v>
      </c>
      <c r="C155" s="46" t="s">
        <v>280</v>
      </c>
      <c r="D155" s="47"/>
      <c r="E155" s="47"/>
      <c r="F155" s="48"/>
      <c r="G155" s="49" t="s">
        <v>62</v>
      </c>
      <c r="H155" s="47"/>
      <c r="I155" s="47"/>
      <c r="J155" s="48"/>
      <c r="K155" s="46"/>
      <c r="L155" s="47"/>
      <c r="M155" s="47"/>
      <c r="N155" s="48"/>
      <c r="O155" s="46" t="s">
        <v>231</v>
      </c>
      <c r="P155" s="47"/>
      <c r="Q155" s="48"/>
      <c r="R155" s="46"/>
      <c r="S155" s="48"/>
      <c r="T155" s="46"/>
      <c r="U155" s="48"/>
      <c r="V155" s="46"/>
      <c r="W155" s="48"/>
      <c r="X155" s="50"/>
      <c r="Y155" s="51"/>
    </row>
    <row r="156" spans="1:25" ht="30" customHeight="1" x14ac:dyDescent="0.25">
      <c r="A156" s="37">
        <v>5</v>
      </c>
      <c r="B156" s="36" t="s">
        <v>164</v>
      </c>
      <c r="C156" s="46" t="s">
        <v>281</v>
      </c>
      <c r="D156" s="47"/>
      <c r="E156" s="47"/>
      <c r="F156" s="48"/>
      <c r="G156" s="46" t="s">
        <v>66</v>
      </c>
      <c r="H156" s="47"/>
      <c r="I156" s="47"/>
      <c r="J156" s="48"/>
      <c r="K156" s="46"/>
      <c r="L156" s="47"/>
      <c r="M156" s="47"/>
      <c r="N156" s="48"/>
      <c r="O156" s="46" t="s">
        <v>229</v>
      </c>
      <c r="P156" s="47"/>
      <c r="Q156" s="48"/>
      <c r="R156" s="46"/>
      <c r="S156" s="48"/>
      <c r="T156" s="46"/>
      <c r="U156" s="48"/>
      <c r="V156" s="46"/>
      <c r="W156" s="48"/>
      <c r="X156" s="50"/>
      <c r="Y156" s="51"/>
    </row>
    <row r="157" spans="1:25" ht="48" customHeight="1" thickBot="1" x14ac:dyDescent="0.3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 spans="1:25" ht="54" customHeight="1" thickTop="1" x14ac:dyDescent="0.25">
      <c r="A158" s="20">
        <f>'Invetario de Tablas'!A25</f>
        <v>22</v>
      </c>
      <c r="B158" s="29" t="s">
        <v>28</v>
      </c>
      <c r="C158" s="54" t="str">
        <f>'Invetario de Tablas'!B25</f>
        <v>evento</v>
      </c>
      <c r="D158" s="55"/>
      <c r="E158" s="55"/>
      <c r="F158" s="56"/>
      <c r="G158" s="57" t="s">
        <v>29</v>
      </c>
      <c r="H158" s="58"/>
      <c r="I158" s="58"/>
      <c r="J158" s="59"/>
      <c r="K158" s="60" t="str">
        <f>'Invetario de Tablas'!C25</f>
        <v>Actividad programada como talleres, seminarios o encuentros relacionados con el sector apícola</v>
      </c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2"/>
      <c r="X158" s="21" t="s">
        <v>32</v>
      </c>
      <c r="Y158" s="22"/>
    </row>
    <row r="159" spans="1:25" ht="60" customHeight="1" x14ac:dyDescent="0.25">
      <c r="A159" s="23" t="s">
        <v>1</v>
      </c>
      <c r="B159" s="24" t="s">
        <v>33</v>
      </c>
      <c r="C159" s="52" t="s">
        <v>34</v>
      </c>
      <c r="D159" s="64"/>
      <c r="E159" s="64"/>
      <c r="F159" s="65"/>
      <c r="G159" s="52" t="s">
        <v>43</v>
      </c>
      <c r="H159" s="64"/>
      <c r="I159" s="64"/>
      <c r="J159" s="65"/>
      <c r="K159" s="52" t="s">
        <v>36</v>
      </c>
      <c r="L159" s="64"/>
      <c r="M159" s="64"/>
      <c r="N159" s="65"/>
      <c r="O159" s="52" t="s">
        <v>37</v>
      </c>
      <c r="P159" s="64"/>
      <c r="Q159" s="65"/>
      <c r="R159" s="52" t="s">
        <v>38</v>
      </c>
      <c r="S159" s="65"/>
      <c r="T159" s="52" t="s">
        <v>39</v>
      </c>
      <c r="U159" s="65"/>
      <c r="V159" s="52" t="s">
        <v>40</v>
      </c>
      <c r="W159" s="65"/>
      <c r="X159" s="52" t="s">
        <v>41</v>
      </c>
      <c r="Y159" s="53"/>
    </row>
    <row r="160" spans="1:25" ht="30" customHeight="1" x14ac:dyDescent="0.3">
      <c r="A160" s="37">
        <v>1</v>
      </c>
      <c r="B160" s="36" t="s">
        <v>282</v>
      </c>
      <c r="C160" s="46" t="s">
        <v>283</v>
      </c>
      <c r="D160" s="47"/>
      <c r="E160" s="47"/>
      <c r="F160" s="48"/>
      <c r="G160" s="67" t="s">
        <v>309</v>
      </c>
      <c r="H160" s="42"/>
      <c r="I160" s="42"/>
      <c r="J160" s="43"/>
      <c r="K160" s="46">
        <v>11</v>
      </c>
      <c r="L160" s="47"/>
      <c r="M160" s="47"/>
      <c r="N160" s="48"/>
      <c r="O160" s="46" t="s">
        <v>229</v>
      </c>
      <c r="P160" s="47"/>
      <c r="Q160" s="48"/>
      <c r="R160" s="66" t="s">
        <v>230</v>
      </c>
      <c r="S160" s="48"/>
      <c r="T160" s="46"/>
      <c r="U160" s="48"/>
      <c r="V160" s="66" t="s">
        <v>230</v>
      </c>
      <c r="W160" s="48"/>
      <c r="X160" s="50"/>
      <c r="Y160" s="51"/>
    </row>
    <row r="161" spans="1:25" ht="30" customHeight="1" x14ac:dyDescent="0.3">
      <c r="A161" s="37">
        <v>2</v>
      </c>
      <c r="B161" s="36" t="s">
        <v>277</v>
      </c>
      <c r="C161" s="46" t="s">
        <v>284</v>
      </c>
      <c r="D161" s="47"/>
      <c r="E161" s="47"/>
      <c r="F161" s="48"/>
      <c r="G161" s="67" t="s">
        <v>55</v>
      </c>
      <c r="H161" s="68"/>
      <c r="I161" s="68"/>
      <c r="J161" s="69"/>
      <c r="K161" s="46">
        <v>11</v>
      </c>
      <c r="L161" s="47"/>
      <c r="M161" s="47"/>
      <c r="N161" s="48"/>
      <c r="O161" s="46" t="s">
        <v>229</v>
      </c>
      <c r="P161" s="47"/>
      <c r="Q161" s="48"/>
      <c r="R161" s="46"/>
      <c r="S161" s="48"/>
      <c r="T161" s="66" t="s">
        <v>230</v>
      </c>
      <c r="U161" s="48"/>
      <c r="V161" s="46"/>
      <c r="W161" s="48"/>
      <c r="X161" s="50"/>
      <c r="Y161" s="51"/>
    </row>
    <row r="162" spans="1:25" ht="30" customHeight="1" x14ac:dyDescent="0.25">
      <c r="A162" s="37">
        <v>3</v>
      </c>
      <c r="B162" s="36" t="s">
        <v>146</v>
      </c>
      <c r="C162" s="46" t="s">
        <v>285</v>
      </c>
      <c r="D162" s="47"/>
      <c r="E162" s="47"/>
      <c r="F162" s="48"/>
      <c r="G162" s="49" t="s">
        <v>310</v>
      </c>
      <c r="H162" s="47"/>
      <c r="I162" s="47"/>
      <c r="J162" s="48"/>
      <c r="K162" s="46">
        <v>50</v>
      </c>
      <c r="L162" s="47"/>
      <c r="M162" s="47"/>
      <c r="N162" s="48"/>
      <c r="O162" s="46" t="s">
        <v>229</v>
      </c>
      <c r="P162" s="47"/>
      <c r="Q162" s="48"/>
      <c r="R162" s="46"/>
      <c r="S162" s="48"/>
      <c r="T162" s="46"/>
      <c r="U162" s="48"/>
      <c r="V162" s="46"/>
      <c r="W162" s="48"/>
      <c r="X162" s="50"/>
      <c r="Y162" s="51"/>
    </row>
    <row r="163" spans="1:25" ht="30" customHeight="1" x14ac:dyDescent="0.25">
      <c r="A163" s="37">
        <v>4</v>
      </c>
      <c r="B163" s="36" t="s">
        <v>164</v>
      </c>
      <c r="C163" s="46" t="s">
        <v>286</v>
      </c>
      <c r="D163" s="47"/>
      <c r="E163" s="47"/>
      <c r="F163" s="48"/>
      <c r="G163" s="46" t="s">
        <v>66</v>
      </c>
      <c r="H163" s="47"/>
      <c r="I163" s="47"/>
      <c r="J163" s="48"/>
      <c r="K163" s="46"/>
      <c r="L163" s="47"/>
      <c r="M163" s="47"/>
      <c r="N163" s="48"/>
      <c r="O163" s="46" t="s">
        <v>229</v>
      </c>
      <c r="P163" s="47"/>
      <c r="Q163" s="48"/>
      <c r="R163" s="46"/>
      <c r="S163" s="48"/>
      <c r="T163" s="46"/>
      <c r="U163" s="48"/>
      <c r="V163" s="46"/>
      <c r="W163" s="48"/>
      <c r="X163" s="50"/>
      <c r="Y163" s="51"/>
    </row>
    <row r="164" spans="1:25" ht="30" customHeight="1" x14ac:dyDescent="0.25">
      <c r="A164" s="37">
        <v>5</v>
      </c>
      <c r="B164" s="36" t="s">
        <v>287</v>
      </c>
      <c r="C164" s="46" t="s">
        <v>288</v>
      </c>
      <c r="D164" s="47"/>
      <c r="E164" s="47"/>
      <c r="F164" s="48"/>
      <c r="G164" s="49" t="s">
        <v>310</v>
      </c>
      <c r="H164" s="47"/>
      <c r="I164" s="47"/>
      <c r="J164" s="48"/>
      <c r="K164" s="46">
        <v>50</v>
      </c>
      <c r="L164" s="47"/>
      <c r="M164" s="47"/>
      <c r="N164" s="48"/>
      <c r="O164" s="46" t="s">
        <v>229</v>
      </c>
      <c r="P164" s="47"/>
      <c r="Q164" s="48"/>
      <c r="R164" s="46"/>
      <c r="S164" s="48"/>
      <c r="T164" s="46"/>
      <c r="U164" s="48"/>
      <c r="V164" s="46"/>
      <c r="W164" s="48"/>
      <c r="X164" s="50"/>
      <c r="Y164" s="51"/>
    </row>
    <row r="165" spans="1:25" ht="48" customHeight="1" thickBot="1" x14ac:dyDescent="0.3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 spans="1:25" ht="54" customHeight="1" thickTop="1" x14ac:dyDescent="0.25">
      <c r="A166" s="20">
        <f>'Invetario de Tablas'!A26</f>
        <v>23</v>
      </c>
      <c r="B166" s="29" t="s">
        <v>28</v>
      </c>
      <c r="C166" s="54" t="str">
        <f>'Invetario de Tablas'!B26</f>
        <v>comunidad</v>
      </c>
      <c r="D166" s="55"/>
      <c r="E166" s="55"/>
      <c r="F166" s="56"/>
      <c r="G166" s="57" t="s">
        <v>29</v>
      </c>
      <c r="H166" s="58"/>
      <c r="I166" s="58"/>
      <c r="J166" s="59"/>
      <c r="K166" s="60" t="str">
        <f>'Invetario de Tablas'!C26</f>
        <v>Grupo de apicultores que se organizan dentro de la plataforma para compartir conocimiento, experiencias o apoyo</v>
      </c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2"/>
      <c r="X166" s="21" t="s">
        <v>32</v>
      </c>
      <c r="Y166" s="22"/>
    </row>
    <row r="167" spans="1:25" ht="60" customHeight="1" x14ac:dyDescent="0.25">
      <c r="A167" s="23" t="s">
        <v>1</v>
      </c>
      <c r="B167" s="24" t="s">
        <v>33</v>
      </c>
      <c r="C167" s="63" t="s">
        <v>34</v>
      </c>
      <c r="D167" s="64"/>
      <c r="E167" s="64"/>
      <c r="F167" s="65"/>
      <c r="G167" s="52" t="s">
        <v>43</v>
      </c>
      <c r="H167" s="64"/>
      <c r="I167" s="64"/>
      <c r="J167" s="65"/>
      <c r="K167" s="52" t="s">
        <v>36</v>
      </c>
      <c r="L167" s="64"/>
      <c r="M167" s="64"/>
      <c r="N167" s="65"/>
      <c r="O167" s="52" t="s">
        <v>37</v>
      </c>
      <c r="P167" s="64"/>
      <c r="Q167" s="65"/>
      <c r="R167" s="52" t="s">
        <v>38</v>
      </c>
      <c r="S167" s="65"/>
      <c r="T167" s="52" t="s">
        <v>39</v>
      </c>
      <c r="U167" s="65"/>
      <c r="V167" s="52" t="s">
        <v>40</v>
      </c>
      <c r="W167" s="65"/>
      <c r="X167" s="52" t="s">
        <v>41</v>
      </c>
      <c r="Y167" s="53"/>
    </row>
    <row r="168" spans="1:25" ht="30" customHeight="1" x14ac:dyDescent="0.3">
      <c r="A168" s="37">
        <v>1</v>
      </c>
      <c r="B168" s="36" t="s">
        <v>289</v>
      </c>
      <c r="C168" s="46" t="s">
        <v>290</v>
      </c>
      <c r="D168" s="47"/>
      <c r="E168" s="47"/>
      <c r="F168" s="48"/>
      <c r="G168" s="67" t="s">
        <v>309</v>
      </c>
      <c r="H168" s="42"/>
      <c r="I168" s="42"/>
      <c r="J168" s="43"/>
      <c r="K168" s="46">
        <v>11</v>
      </c>
      <c r="L168" s="47"/>
      <c r="M168" s="47"/>
      <c r="N168" s="48"/>
      <c r="O168" s="46" t="s">
        <v>229</v>
      </c>
      <c r="P168" s="47"/>
      <c r="Q168" s="48"/>
      <c r="R168" s="66" t="s">
        <v>230</v>
      </c>
      <c r="S168" s="48"/>
      <c r="T168" s="46"/>
      <c r="U168" s="48"/>
      <c r="V168" s="66" t="s">
        <v>230</v>
      </c>
      <c r="W168" s="48"/>
      <c r="X168" s="50"/>
      <c r="Y168" s="51"/>
    </row>
    <row r="169" spans="1:25" ht="30" customHeight="1" x14ac:dyDescent="0.25">
      <c r="A169" s="37">
        <v>2</v>
      </c>
      <c r="B169" s="36" t="s">
        <v>146</v>
      </c>
      <c r="C169" s="46" t="s">
        <v>291</v>
      </c>
      <c r="D169" s="47"/>
      <c r="E169" s="47"/>
      <c r="F169" s="48"/>
      <c r="G169" s="49" t="s">
        <v>310</v>
      </c>
      <c r="H169" s="47"/>
      <c r="I169" s="47"/>
      <c r="J169" s="48"/>
      <c r="K169" s="46">
        <v>50</v>
      </c>
      <c r="L169" s="47"/>
      <c r="M169" s="47"/>
      <c r="N169" s="48"/>
      <c r="O169" s="46" t="s">
        <v>229</v>
      </c>
      <c r="P169" s="47"/>
      <c r="Q169" s="48"/>
      <c r="R169" s="46"/>
      <c r="S169" s="48"/>
      <c r="T169" s="46"/>
      <c r="U169" s="48"/>
      <c r="V169" s="46"/>
      <c r="W169" s="48"/>
      <c r="X169" s="50"/>
      <c r="Y169" s="51"/>
    </row>
    <row r="170" spans="1:25" ht="30" customHeight="1" x14ac:dyDescent="0.25">
      <c r="A170" s="37">
        <v>3</v>
      </c>
      <c r="B170" s="36" t="s">
        <v>147</v>
      </c>
      <c r="C170" s="46" t="s">
        <v>292</v>
      </c>
      <c r="D170" s="47"/>
      <c r="E170" s="47"/>
      <c r="F170" s="48"/>
      <c r="G170" s="49" t="s">
        <v>62</v>
      </c>
      <c r="H170" s="47"/>
      <c r="I170" s="47"/>
      <c r="J170" s="48"/>
      <c r="K170" s="46"/>
      <c r="L170" s="47"/>
      <c r="M170" s="47"/>
      <c r="N170" s="48"/>
      <c r="O170" s="46" t="s">
        <v>231</v>
      </c>
      <c r="P170" s="47"/>
      <c r="Q170" s="48"/>
      <c r="R170" s="46"/>
      <c r="S170" s="48"/>
      <c r="T170" s="46"/>
      <c r="U170" s="48"/>
      <c r="V170" s="46"/>
      <c r="W170" s="48"/>
      <c r="X170" s="50"/>
      <c r="Y170" s="51"/>
    </row>
    <row r="171" spans="1:25" ht="30" customHeight="1" x14ac:dyDescent="0.25">
      <c r="A171" s="37">
        <v>4</v>
      </c>
      <c r="B171" s="36" t="s">
        <v>218</v>
      </c>
      <c r="C171" s="46" t="s">
        <v>219</v>
      </c>
      <c r="D171" s="47"/>
      <c r="E171" s="47"/>
      <c r="F171" s="48"/>
      <c r="G171" s="46" t="s">
        <v>66</v>
      </c>
      <c r="H171" s="47"/>
      <c r="I171" s="47"/>
      <c r="J171" s="48"/>
      <c r="K171" s="46"/>
      <c r="L171" s="47"/>
      <c r="M171" s="47"/>
      <c r="N171" s="48"/>
      <c r="O171" s="46" t="s">
        <v>229</v>
      </c>
      <c r="P171" s="47"/>
      <c r="Q171" s="48"/>
      <c r="R171" s="46"/>
      <c r="S171" s="48"/>
      <c r="T171" s="46"/>
      <c r="U171" s="48"/>
      <c r="V171" s="46"/>
      <c r="W171" s="48"/>
      <c r="X171" s="50"/>
      <c r="Y171" s="51"/>
    </row>
    <row r="172" spans="1:25" ht="48" customHeight="1" thickBot="1" x14ac:dyDescent="0.3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 spans="1:25" ht="54" customHeight="1" thickTop="1" x14ac:dyDescent="0.25">
      <c r="A173" s="20">
        <f>'Invetario de Tablas'!A27</f>
        <v>24</v>
      </c>
      <c r="B173" s="29" t="s">
        <v>28</v>
      </c>
      <c r="C173" s="54" t="str">
        <f>'Invetario de Tablas'!B27</f>
        <v>lote</v>
      </c>
      <c r="D173" s="55"/>
      <c r="E173" s="55"/>
      <c r="F173" s="56"/>
      <c r="G173" s="57" t="s">
        <v>29</v>
      </c>
      <c r="H173" s="58"/>
      <c r="I173" s="58"/>
      <c r="J173" s="59"/>
      <c r="K173" s="60" t="str">
        <f>'Invetario de Tablas'!C27</f>
        <v>Conjunto específico de producto obtenido a partir de una cosecha</v>
      </c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2"/>
      <c r="X173" s="21" t="s">
        <v>32</v>
      </c>
      <c r="Y173" s="22"/>
    </row>
    <row r="174" spans="1:25" ht="60" customHeight="1" x14ac:dyDescent="0.25">
      <c r="A174" s="23" t="s">
        <v>1</v>
      </c>
      <c r="B174" s="24" t="s">
        <v>33</v>
      </c>
      <c r="C174" s="63" t="s">
        <v>34</v>
      </c>
      <c r="D174" s="64"/>
      <c r="E174" s="64"/>
      <c r="F174" s="65"/>
      <c r="G174" s="52" t="s">
        <v>43</v>
      </c>
      <c r="H174" s="64"/>
      <c r="I174" s="64"/>
      <c r="J174" s="65"/>
      <c r="K174" s="52" t="s">
        <v>36</v>
      </c>
      <c r="L174" s="64"/>
      <c r="M174" s="64"/>
      <c r="N174" s="65"/>
      <c r="O174" s="52" t="s">
        <v>37</v>
      </c>
      <c r="P174" s="64"/>
      <c r="Q174" s="65"/>
      <c r="R174" s="52" t="s">
        <v>38</v>
      </c>
      <c r="S174" s="65"/>
      <c r="T174" s="52" t="s">
        <v>39</v>
      </c>
      <c r="U174" s="65"/>
      <c r="V174" s="52" t="s">
        <v>40</v>
      </c>
      <c r="W174" s="65"/>
      <c r="X174" s="52" t="s">
        <v>41</v>
      </c>
      <c r="Y174" s="53"/>
    </row>
    <row r="175" spans="1:25" ht="30" customHeight="1" x14ac:dyDescent="0.3">
      <c r="A175" s="37">
        <v>1</v>
      </c>
      <c r="B175" s="36" t="s">
        <v>174</v>
      </c>
      <c r="C175" s="46" t="s">
        <v>293</v>
      </c>
      <c r="D175" s="47"/>
      <c r="E175" s="47"/>
      <c r="F175" s="48"/>
      <c r="G175" s="67" t="s">
        <v>309</v>
      </c>
      <c r="H175" s="42"/>
      <c r="I175" s="42"/>
      <c r="J175" s="43"/>
      <c r="K175" s="46">
        <v>11</v>
      </c>
      <c r="L175" s="47"/>
      <c r="M175" s="47"/>
      <c r="N175" s="48"/>
      <c r="O175" s="46" t="s">
        <v>229</v>
      </c>
      <c r="P175" s="47"/>
      <c r="Q175" s="48"/>
      <c r="R175" s="66" t="s">
        <v>230</v>
      </c>
      <c r="S175" s="48"/>
      <c r="T175" s="46"/>
      <c r="U175" s="48"/>
      <c r="V175" s="66" t="s">
        <v>230</v>
      </c>
      <c r="W175" s="48"/>
      <c r="X175" s="50"/>
      <c r="Y175" s="51"/>
    </row>
    <row r="176" spans="1:25" ht="30" customHeight="1" x14ac:dyDescent="0.3">
      <c r="A176" s="37">
        <v>2</v>
      </c>
      <c r="B176" s="36" t="s">
        <v>163</v>
      </c>
      <c r="C176" s="46" t="s">
        <v>294</v>
      </c>
      <c r="D176" s="47"/>
      <c r="E176" s="47"/>
      <c r="F176" s="48"/>
      <c r="G176" s="67" t="s">
        <v>55</v>
      </c>
      <c r="H176" s="68"/>
      <c r="I176" s="68"/>
      <c r="J176" s="69"/>
      <c r="K176" s="46">
        <v>11</v>
      </c>
      <c r="L176" s="47"/>
      <c r="M176" s="47"/>
      <c r="N176" s="48"/>
      <c r="O176" s="46" t="s">
        <v>229</v>
      </c>
      <c r="P176" s="47"/>
      <c r="Q176" s="48"/>
      <c r="R176" s="46"/>
      <c r="S176" s="48"/>
      <c r="T176" s="66" t="s">
        <v>230</v>
      </c>
      <c r="U176" s="48"/>
      <c r="V176" s="46"/>
      <c r="W176" s="48"/>
      <c r="X176" s="50"/>
      <c r="Y176" s="51"/>
    </row>
    <row r="177" spans="1:25" ht="30" customHeight="1" x14ac:dyDescent="0.25">
      <c r="A177" s="37">
        <v>3</v>
      </c>
      <c r="B177" s="36" t="s">
        <v>176</v>
      </c>
      <c r="C177" s="46" t="s">
        <v>295</v>
      </c>
      <c r="D177" s="47"/>
      <c r="E177" s="47"/>
      <c r="F177" s="48"/>
      <c r="G177" s="67" t="s">
        <v>55</v>
      </c>
      <c r="H177" s="68"/>
      <c r="I177" s="68"/>
      <c r="J177" s="69"/>
      <c r="K177" s="46">
        <v>11</v>
      </c>
      <c r="L177" s="47"/>
      <c r="M177" s="47"/>
      <c r="N177" s="48"/>
      <c r="O177" s="46" t="s">
        <v>296</v>
      </c>
      <c r="P177" s="47"/>
      <c r="Q177" s="48"/>
      <c r="R177" s="46"/>
      <c r="S177" s="48"/>
      <c r="T177" s="46"/>
      <c r="U177" s="48"/>
      <c r="V177" s="46"/>
      <c r="W177" s="48"/>
      <c r="X177" s="50"/>
      <c r="Y177" s="51"/>
    </row>
    <row r="178" spans="1:25" ht="30" customHeight="1" x14ac:dyDescent="0.25">
      <c r="A178" s="37">
        <v>4</v>
      </c>
      <c r="B178" s="36" t="s">
        <v>297</v>
      </c>
      <c r="C178" s="46" t="s">
        <v>298</v>
      </c>
      <c r="D178" s="47"/>
      <c r="E178" s="47"/>
      <c r="F178" s="48"/>
      <c r="G178" s="46" t="s">
        <v>66</v>
      </c>
      <c r="H178" s="47"/>
      <c r="I178" s="47"/>
      <c r="J178" s="48"/>
      <c r="K178" s="46"/>
      <c r="L178" s="47"/>
      <c r="M178" s="47"/>
      <c r="N178" s="48"/>
      <c r="O178" s="46" t="s">
        <v>229</v>
      </c>
      <c r="P178" s="47"/>
      <c r="Q178" s="48"/>
      <c r="R178" s="46"/>
      <c r="S178" s="48"/>
      <c r="T178" s="46"/>
      <c r="U178" s="48"/>
      <c r="V178" s="46"/>
      <c r="W178" s="48"/>
      <c r="X178" s="50"/>
      <c r="Y178" s="51"/>
    </row>
    <row r="179" spans="1:25" ht="48" customHeight="1" thickBot="1" x14ac:dyDescent="0.3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 spans="1:25" ht="54" customHeight="1" thickTop="1" x14ac:dyDescent="0.25">
      <c r="A180" s="20">
        <f>'Invetario de Tablas'!A28</f>
        <v>25</v>
      </c>
      <c r="B180" s="29" t="s">
        <v>28</v>
      </c>
      <c r="C180" s="54" t="str">
        <f>'Invetario de Tablas'!B28</f>
        <v>apicultor_intercambio</v>
      </c>
      <c r="D180" s="55"/>
      <c r="E180" s="55"/>
      <c r="F180" s="56"/>
      <c r="G180" s="57" t="s">
        <v>29</v>
      </c>
      <c r="H180" s="58"/>
      <c r="I180" s="58"/>
      <c r="J180" s="59"/>
      <c r="K180" s="60" t="str">
        <f>'Invetario de Tablas'!C28</f>
        <v>Tabla formada por la relacion M:N entre apicultor y intercambio</v>
      </c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2"/>
      <c r="X180" s="21" t="s">
        <v>32</v>
      </c>
      <c r="Y180" s="22"/>
    </row>
    <row r="181" spans="1:25" ht="60" customHeight="1" x14ac:dyDescent="0.25">
      <c r="A181" s="23" t="s">
        <v>1</v>
      </c>
      <c r="B181" s="24" t="s">
        <v>33</v>
      </c>
      <c r="C181" s="63" t="s">
        <v>34</v>
      </c>
      <c r="D181" s="64"/>
      <c r="E181" s="64"/>
      <c r="F181" s="65"/>
      <c r="G181" s="52" t="s">
        <v>43</v>
      </c>
      <c r="H181" s="64"/>
      <c r="I181" s="64"/>
      <c r="J181" s="65"/>
      <c r="K181" s="52" t="s">
        <v>36</v>
      </c>
      <c r="L181" s="64"/>
      <c r="M181" s="64"/>
      <c r="N181" s="65"/>
      <c r="O181" s="52" t="s">
        <v>37</v>
      </c>
      <c r="P181" s="64"/>
      <c r="Q181" s="65"/>
      <c r="R181" s="52" t="s">
        <v>38</v>
      </c>
      <c r="S181" s="65"/>
      <c r="T181" s="52" t="s">
        <v>39</v>
      </c>
      <c r="U181" s="65"/>
      <c r="V181" s="52" t="s">
        <v>40</v>
      </c>
      <c r="W181" s="65"/>
      <c r="X181" s="52" t="s">
        <v>41</v>
      </c>
      <c r="Y181" s="53"/>
    </row>
    <row r="182" spans="1:25" ht="30" customHeight="1" x14ac:dyDescent="0.3">
      <c r="A182" s="37">
        <v>1</v>
      </c>
      <c r="B182" s="36" t="s">
        <v>145</v>
      </c>
      <c r="C182" s="46" t="s">
        <v>299</v>
      </c>
      <c r="D182" s="47"/>
      <c r="E182" s="47"/>
      <c r="F182" s="48"/>
      <c r="G182" s="46" t="s">
        <v>55</v>
      </c>
      <c r="H182" s="47"/>
      <c r="I182" s="47"/>
      <c r="J182" s="48"/>
      <c r="K182" s="46">
        <v>11</v>
      </c>
      <c r="L182" s="47"/>
      <c r="M182" s="47"/>
      <c r="N182" s="48"/>
      <c r="O182" s="46" t="s">
        <v>229</v>
      </c>
      <c r="P182" s="47"/>
      <c r="Q182" s="48"/>
      <c r="R182" s="66" t="s">
        <v>230</v>
      </c>
      <c r="S182" s="48"/>
      <c r="T182" s="66" t="s">
        <v>230</v>
      </c>
      <c r="U182" s="48"/>
      <c r="V182" s="46"/>
      <c r="W182" s="48"/>
      <c r="X182" s="50"/>
      <c r="Y182" s="51"/>
    </row>
    <row r="183" spans="1:25" ht="30" customHeight="1" x14ac:dyDescent="0.3">
      <c r="A183" s="37">
        <v>2</v>
      </c>
      <c r="B183" s="36" t="s">
        <v>244</v>
      </c>
      <c r="C183" s="46" t="s">
        <v>300</v>
      </c>
      <c r="D183" s="47"/>
      <c r="E183" s="47"/>
      <c r="F183" s="48"/>
      <c r="G183" s="46" t="s">
        <v>55</v>
      </c>
      <c r="H183" s="47"/>
      <c r="I183" s="47"/>
      <c r="J183" s="48"/>
      <c r="K183" s="46">
        <v>11</v>
      </c>
      <c r="L183" s="47"/>
      <c r="M183" s="47"/>
      <c r="N183" s="48"/>
      <c r="O183" s="46" t="s">
        <v>229</v>
      </c>
      <c r="P183" s="47"/>
      <c r="Q183" s="48"/>
      <c r="R183" s="66" t="s">
        <v>230</v>
      </c>
      <c r="S183" s="48"/>
      <c r="T183" s="66" t="s">
        <v>230</v>
      </c>
      <c r="U183" s="48"/>
      <c r="V183" s="46"/>
      <c r="W183" s="48"/>
      <c r="X183" s="50"/>
      <c r="Y183" s="51"/>
    </row>
    <row r="184" spans="1:25" ht="48" customHeight="1" thickBot="1" x14ac:dyDescent="0.3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 spans="1:25" ht="54" customHeight="1" thickTop="1" x14ac:dyDescent="0.25">
      <c r="A185" s="20">
        <f>'Invetario de Tablas'!A29</f>
        <v>26</v>
      </c>
      <c r="B185" s="29" t="s">
        <v>28</v>
      </c>
      <c r="C185" s="54" t="str">
        <f>'Invetario de Tablas'!B29</f>
        <v>apicultor_comunidad</v>
      </c>
      <c r="D185" s="55"/>
      <c r="E185" s="55"/>
      <c r="F185" s="56"/>
      <c r="G185" s="57" t="s">
        <v>29</v>
      </c>
      <c r="H185" s="58"/>
      <c r="I185" s="58"/>
      <c r="J185" s="59"/>
      <c r="K185" s="60" t="str">
        <f>'Invetario de Tablas'!C29</f>
        <v>Tabla intermedia formada por la cardinalidad M:N entre apicultor y comunidad</v>
      </c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2"/>
      <c r="X185" s="21" t="s">
        <v>32</v>
      </c>
      <c r="Y185" s="22"/>
    </row>
    <row r="186" spans="1:25" ht="60" customHeight="1" x14ac:dyDescent="0.25">
      <c r="A186" s="23" t="s">
        <v>1</v>
      </c>
      <c r="B186" s="24" t="s">
        <v>33</v>
      </c>
      <c r="C186" s="63" t="s">
        <v>34</v>
      </c>
      <c r="D186" s="64"/>
      <c r="E186" s="64"/>
      <c r="F186" s="65"/>
      <c r="G186" s="52" t="s">
        <v>43</v>
      </c>
      <c r="H186" s="64"/>
      <c r="I186" s="64"/>
      <c r="J186" s="65"/>
      <c r="K186" s="52" t="s">
        <v>36</v>
      </c>
      <c r="L186" s="64"/>
      <c r="M186" s="64"/>
      <c r="N186" s="65"/>
      <c r="O186" s="52" t="s">
        <v>37</v>
      </c>
      <c r="P186" s="64"/>
      <c r="Q186" s="65"/>
      <c r="R186" s="52" t="s">
        <v>38</v>
      </c>
      <c r="S186" s="65"/>
      <c r="T186" s="52" t="s">
        <v>39</v>
      </c>
      <c r="U186" s="65"/>
      <c r="V186" s="52" t="s">
        <v>40</v>
      </c>
      <c r="W186" s="65"/>
      <c r="X186" s="52" t="s">
        <v>41</v>
      </c>
      <c r="Y186" s="53"/>
    </row>
    <row r="187" spans="1:25" ht="30" customHeight="1" x14ac:dyDescent="0.3">
      <c r="A187" s="37">
        <v>1</v>
      </c>
      <c r="B187" s="36" t="s">
        <v>145</v>
      </c>
      <c r="C187" s="46" t="s">
        <v>315</v>
      </c>
      <c r="D187" s="47"/>
      <c r="E187" s="47"/>
      <c r="F187" s="48"/>
      <c r="G187" s="46" t="s">
        <v>55</v>
      </c>
      <c r="H187" s="47"/>
      <c r="I187" s="47"/>
      <c r="J187" s="48"/>
      <c r="K187" s="46">
        <v>11</v>
      </c>
      <c r="L187" s="47"/>
      <c r="M187" s="47"/>
      <c r="N187" s="48"/>
      <c r="O187" s="46" t="s">
        <v>229</v>
      </c>
      <c r="P187" s="47"/>
      <c r="Q187" s="48"/>
      <c r="R187" s="66" t="s">
        <v>230</v>
      </c>
      <c r="S187" s="48"/>
      <c r="T187" s="66" t="s">
        <v>230</v>
      </c>
      <c r="U187" s="48"/>
      <c r="V187" s="46"/>
      <c r="W187" s="48"/>
      <c r="X187" s="50"/>
      <c r="Y187" s="51"/>
    </row>
    <row r="188" spans="1:25" ht="30" customHeight="1" x14ac:dyDescent="0.3">
      <c r="A188" s="37">
        <v>2</v>
      </c>
      <c r="B188" s="36" t="s">
        <v>289</v>
      </c>
      <c r="C188" s="46" t="s">
        <v>301</v>
      </c>
      <c r="D188" s="47"/>
      <c r="E188" s="47"/>
      <c r="F188" s="48"/>
      <c r="G188" s="46" t="s">
        <v>55</v>
      </c>
      <c r="H188" s="47"/>
      <c r="I188" s="47"/>
      <c r="J188" s="48"/>
      <c r="K188" s="46">
        <v>11</v>
      </c>
      <c r="L188" s="47"/>
      <c r="M188" s="47"/>
      <c r="N188" s="48"/>
      <c r="O188" s="46" t="s">
        <v>229</v>
      </c>
      <c r="P188" s="47"/>
      <c r="Q188" s="48"/>
      <c r="R188" s="66" t="s">
        <v>230</v>
      </c>
      <c r="S188" s="48"/>
      <c r="T188" s="66" t="s">
        <v>230</v>
      </c>
      <c r="U188" s="48"/>
      <c r="V188" s="46"/>
      <c r="W188" s="48"/>
      <c r="X188" s="50"/>
      <c r="Y188" s="51"/>
    </row>
    <row r="189" spans="1:25" ht="48" customHeight="1" thickBot="1" x14ac:dyDescent="0.3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 spans="1:25" ht="54" customHeight="1" thickTop="1" x14ac:dyDescent="0.25">
      <c r="A190" s="20">
        <f>'Invetario de Tablas'!A30</f>
        <v>27</v>
      </c>
      <c r="B190" s="29" t="s">
        <v>28</v>
      </c>
      <c r="C190" s="54" t="str">
        <f>'Invetario de Tablas'!B30</f>
        <v>evento_apicultor</v>
      </c>
      <c r="D190" s="55"/>
      <c r="E190" s="55"/>
      <c r="F190" s="56"/>
      <c r="G190" s="57" t="s">
        <v>29</v>
      </c>
      <c r="H190" s="58"/>
      <c r="I190" s="58"/>
      <c r="J190" s="59"/>
      <c r="K190" s="60" t="str">
        <f>'Invetario de Tablas'!C30</f>
        <v>Tabla intermedia formada por la cardinalidad M:N entre evento y apicultor</v>
      </c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2"/>
      <c r="X190" s="21" t="s">
        <v>32</v>
      </c>
      <c r="Y190" s="22"/>
    </row>
    <row r="191" spans="1:25" ht="60" customHeight="1" x14ac:dyDescent="0.25">
      <c r="A191" s="23" t="s">
        <v>1</v>
      </c>
      <c r="B191" s="24" t="s">
        <v>33</v>
      </c>
      <c r="C191" s="63" t="s">
        <v>34</v>
      </c>
      <c r="D191" s="64"/>
      <c r="E191" s="64"/>
      <c r="F191" s="65"/>
      <c r="G191" s="52" t="s">
        <v>43</v>
      </c>
      <c r="H191" s="64"/>
      <c r="I191" s="64"/>
      <c r="J191" s="65"/>
      <c r="K191" s="52" t="s">
        <v>36</v>
      </c>
      <c r="L191" s="64"/>
      <c r="M191" s="64"/>
      <c r="N191" s="65"/>
      <c r="O191" s="52" t="s">
        <v>37</v>
      </c>
      <c r="P191" s="64"/>
      <c r="Q191" s="65"/>
      <c r="R191" s="52" t="s">
        <v>38</v>
      </c>
      <c r="S191" s="65"/>
      <c r="T191" s="52" t="s">
        <v>39</v>
      </c>
      <c r="U191" s="65"/>
      <c r="V191" s="52" t="s">
        <v>40</v>
      </c>
      <c r="W191" s="65"/>
      <c r="X191" s="52" t="s">
        <v>41</v>
      </c>
      <c r="Y191" s="53"/>
    </row>
    <row r="192" spans="1:25" ht="30" customHeight="1" x14ac:dyDescent="0.25">
      <c r="A192" s="37">
        <v>1</v>
      </c>
      <c r="B192" s="36" t="s">
        <v>282</v>
      </c>
      <c r="C192" s="46" t="s">
        <v>302</v>
      </c>
      <c r="D192" s="47"/>
      <c r="E192" s="47"/>
      <c r="F192" s="48"/>
      <c r="G192" s="46" t="s">
        <v>55</v>
      </c>
      <c r="H192" s="47"/>
      <c r="I192" s="47"/>
      <c r="J192" s="48"/>
      <c r="K192" s="46">
        <v>11</v>
      </c>
      <c r="L192" s="47"/>
      <c r="M192" s="47"/>
      <c r="N192" s="48"/>
      <c r="O192" s="46" t="s">
        <v>229</v>
      </c>
      <c r="P192" s="47"/>
      <c r="Q192" s="48"/>
      <c r="R192" s="49" t="s">
        <v>230</v>
      </c>
      <c r="S192" s="48"/>
      <c r="T192" s="49" t="s">
        <v>230</v>
      </c>
      <c r="U192" s="48"/>
      <c r="V192" s="46"/>
      <c r="W192" s="48"/>
      <c r="X192" s="50"/>
      <c r="Y192" s="51"/>
    </row>
    <row r="193" spans="1:25" ht="30" customHeight="1" x14ac:dyDescent="0.25">
      <c r="A193" s="37">
        <v>2</v>
      </c>
      <c r="B193" s="36" t="s">
        <v>145</v>
      </c>
      <c r="C193" s="46" t="s">
        <v>303</v>
      </c>
      <c r="D193" s="47"/>
      <c r="E193" s="47"/>
      <c r="F193" s="48"/>
      <c r="G193" s="46" t="s">
        <v>55</v>
      </c>
      <c r="H193" s="47"/>
      <c r="I193" s="47"/>
      <c r="J193" s="48"/>
      <c r="K193" s="46">
        <v>11</v>
      </c>
      <c r="L193" s="47"/>
      <c r="M193" s="47"/>
      <c r="N193" s="48"/>
      <c r="O193" s="46" t="s">
        <v>229</v>
      </c>
      <c r="P193" s="47"/>
      <c r="Q193" s="48"/>
      <c r="R193" s="49" t="s">
        <v>230</v>
      </c>
      <c r="S193" s="48"/>
      <c r="T193" s="49" t="s">
        <v>230</v>
      </c>
      <c r="U193" s="48"/>
      <c r="V193" s="46"/>
      <c r="W193" s="48"/>
      <c r="X193" s="50"/>
      <c r="Y193" s="51"/>
    </row>
    <row r="194" spans="1:25" ht="48" customHeight="1" thickBot="1" x14ac:dyDescent="0.3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 spans="1:25" ht="54" customHeight="1" thickTop="1" x14ac:dyDescent="0.25">
      <c r="A195" s="20">
        <f>'Invetario de Tablas'!A31</f>
        <v>28</v>
      </c>
      <c r="B195" s="29" t="s">
        <v>28</v>
      </c>
      <c r="C195" s="54" t="str">
        <f>'Invetario de Tablas'!B31</f>
        <v>cooperativa_financiera</v>
      </c>
      <c r="D195" s="55"/>
      <c r="E195" s="55"/>
      <c r="F195" s="56"/>
      <c r="G195" s="57" t="s">
        <v>29</v>
      </c>
      <c r="H195" s="58"/>
      <c r="I195" s="58"/>
      <c r="J195" s="59"/>
      <c r="K195" s="60" t="str">
        <f>'Invetario de Tablas'!C31</f>
        <v>Tabla intermedia formada por la cardinalidad M:N entre cooperativa y entidad financiera</v>
      </c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2"/>
      <c r="X195" s="21" t="s">
        <v>32</v>
      </c>
      <c r="Y195" s="22"/>
    </row>
    <row r="196" spans="1:25" ht="60" customHeight="1" x14ac:dyDescent="0.25">
      <c r="A196" s="23" t="s">
        <v>1</v>
      </c>
      <c r="B196" s="24" t="s">
        <v>33</v>
      </c>
      <c r="C196" s="63" t="s">
        <v>34</v>
      </c>
      <c r="D196" s="64"/>
      <c r="E196" s="64"/>
      <c r="F196" s="65"/>
      <c r="G196" s="52" t="s">
        <v>43</v>
      </c>
      <c r="H196" s="64"/>
      <c r="I196" s="64"/>
      <c r="J196" s="65"/>
      <c r="K196" s="52" t="s">
        <v>36</v>
      </c>
      <c r="L196" s="64"/>
      <c r="M196" s="64"/>
      <c r="N196" s="65"/>
      <c r="O196" s="52" t="s">
        <v>37</v>
      </c>
      <c r="P196" s="64"/>
      <c r="Q196" s="65"/>
      <c r="R196" s="52" t="s">
        <v>38</v>
      </c>
      <c r="S196" s="65"/>
      <c r="T196" s="52" t="s">
        <v>39</v>
      </c>
      <c r="U196" s="65"/>
      <c r="V196" s="52" t="s">
        <v>40</v>
      </c>
      <c r="W196" s="65"/>
      <c r="X196" s="52" t="s">
        <v>41</v>
      </c>
      <c r="Y196" s="53"/>
    </row>
    <row r="197" spans="1:25" ht="30" customHeight="1" x14ac:dyDescent="0.25">
      <c r="A197" s="37">
        <v>1</v>
      </c>
      <c r="B197" s="36" t="s">
        <v>212</v>
      </c>
      <c r="C197" s="46" t="s">
        <v>304</v>
      </c>
      <c r="D197" s="47"/>
      <c r="E197" s="47"/>
      <c r="F197" s="48"/>
      <c r="G197" s="46" t="s">
        <v>55</v>
      </c>
      <c r="H197" s="47"/>
      <c r="I197" s="47"/>
      <c r="J197" s="48"/>
      <c r="K197" s="46">
        <v>11</v>
      </c>
      <c r="L197" s="47"/>
      <c r="M197" s="47"/>
      <c r="N197" s="48"/>
      <c r="O197" s="46" t="s">
        <v>229</v>
      </c>
      <c r="P197" s="47"/>
      <c r="Q197" s="48"/>
      <c r="R197" s="49" t="s">
        <v>230</v>
      </c>
      <c r="S197" s="48"/>
      <c r="T197" s="49" t="s">
        <v>230</v>
      </c>
      <c r="U197" s="48"/>
      <c r="V197" s="46"/>
      <c r="W197" s="48"/>
      <c r="X197" s="50"/>
      <c r="Y197" s="51"/>
    </row>
    <row r="198" spans="1:25" ht="30" customHeight="1" x14ac:dyDescent="0.25">
      <c r="A198" s="37">
        <v>2</v>
      </c>
      <c r="B198" s="36" t="s">
        <v>201</v>
      </c>
      <c r="C198" s="46" t="s">
        <v>305</v>
      </c>
      <c r="D198" s="47"/>
      <c r="E198" s="47"/>
      <c r="F198" s="48"/>
      <c r="G198" s="46" t="s">
        <v>55</v>
      </c>
      <c r="H198" s="47"/>
      <c r="I198" s="47"/>
      <c r="J198" s="48"/>
      <c r="K198" s="46">
        <v>11</v>
      </c>
      <c r="L198" s="47"/>
      <c r="M198" s="47"/>
      <c r="N198" s="48"/>
      <c r="O198" s="46" t="s">
        <v>229</v>
      </c>
      <c r="P198" s="47"/>
      <c r="Q198" s="48"/>
      <c r="R198" s="49" t="s">
        <v>230</v>
      </c>
      <c r="S198" s="48"/>
      <c r="T198" s="49" t="s">
        <v>230</v>
      </c>
      <c r="U198" s="48"/>
      <c r="V198" s="46"/>
      <c r="W198" s="48"/>
      <c r="X198" s="50"/>
      <c r="Y198" s="51"/>
    </row>
    <row r="199" spans="1:25" ht="48" customHeight="1" thickBot="1" x14ac:dyDescent="0.3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 spans="1:25" ht="54" customHeight="1" thickTop="1" x14ac:dyDescent="0.25">
      <c r="A200" s="20">
        <f>'Invetario de Tablas'!A32</f>
        <v>29</v>
      </c>
      <c r="B200" s="29" t="s">
        <v>28</v>
      </c>
      <c r="C200" s="54" t="str">
        <f>'Invetario de Tablas'!B32</f>
        <v>lote_producto</v>
      </c>
      <c r="D200" s="55"/>
      <c r="E200" s="55"/>
      <c r="F200" s="56"/>
      <c r="G200" s="57" t="s">
        <v>29</v>
      </c>
      <c r="H200" s="58"/>
      <c r="I200" s="58"/>
      <c r="J200" s="59"/>
      <c r="K200" s="60" t="str">
        <f>'Invetario de Tablas'!C32</f>
        <v>Tabla intermedia formada por la cardinalidad M:N entre lote y producto</v>
      </c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2"/>
      <c r="X200" s="21" t="s">
        <v>32</v>
      </c>
      <c r="Y200" s="22"/>
    </row>
    <row r="201" spans="1:25" ht="60" customHeight="1" x14ac:dyDescent="0.25">
      <c r="A201" s="23" t="s">
        <v>1</v>
      </c>
      <c r="B201" s="24" t="s">
        <v>33</v>
      </c>
      <c r="C201" s="63" t="s">
        <v>34</v>
      </c>
      <c r="D201" s="64"/>
      <c r="E201" s="64"/>
      <c r="F201" s="65"/>
      <c r="G201" s="52" t="s">
        <v>43</v>
      </c>
      <c r="H201" s="64"/>
      <c r="I201" s="64"/>
      <c r="J201" s="65"/>
      <c r="K201" s="52" t="s">
        <v>36</v>
      </c>
      <c r="L201" s="64"/>
      <c r="M201" s="64"/>
      <c r="N201" s="65"/>
      <c r="O201" s="52" t="s">
        <v>37</v>
      </c>
      <c r="P201" s="64"/>
      <c r="Q201" s="65"/>
      <c r="R201" s="52" t="s">
        <v>38</v>
      </c>
      <c r="S201" s="65"/>
      <c r="T201" s="52" t="s">
        <v>39</v>
      </c>
      <c r="U201" s="65"/>
      <c r="V201" s="52" t="s">
        <v>40</v>
      </c>
      <c r="W201" s="65"/>
      <c r="X201" s="52" t="s">
        <v>41</v>
      </c>
      <c r="Y201" s="53"/>
    </row>
    <row r="202" spans="1:25" ht="30" customHeight="1" x14ac:dyDescent="0.25">
      <c r="A202" s="37">
        <v>1</v>
      </c>
      <c r="B202" s="36" t="s">
        <v>174</v>
      </c>
      <c r="C202" s="46" t="s">
        <v>306</v>
      </c>
      <c r="D202" s="47"/>
      <c r="E202" s="47"/>
      <c r="F202" s="48"/>
      <c r="G202" s="46" t="s">
        <v>55</v>
      </c>
      <c r="H202" s="47"/>
      <c r="I202" s="47"/>
      <c r="J202" s="48"/>
      <c r="K202" s="46">
        <v>11</v>
      </c>
      <c r="L202" s="47"/>
      <c r="M202" s="47"/>
      <c r="N202" s="48"/>
      <c r="O202" s="46" t="s">
        <v>229</v>
      </c>
      <c r="P202" s="47"/>
      <c r="Q202" s="48"/>
      <c r="R202" s="49" t="s">
        <v>230</v>
      </c>
      <c r="S202" s="48"/>
      <c r="T202" s="49" t="s">
        <v>230</v>
      </c>
      <c r="U202" s="48"/>
      <c r="V202" s="46"/>
      <c r="W202" s="48"/>
      <c r="X202" s="50"/>
      <c r="Y202" s="51"/>
    </row>
    <row r="203" spans="1:25" ht="30" customHeight="1" x14ac:dyDescent="0.25">
      <c r="A203" s="37">
        <v>2</v>
      </c>
      <c r="B203" s="36" t="s">
        <v>159</v>
      </c>
      <c r="C203" s="46" t="s">
        <v>307</v>
      </c>
      <c r="D203" s="47"/>
      <c r="E203" s="47"/>
      <c r="F203" s="48"/>
      <c r="G203" s="46" t="s">
        <v>55</v>
      </c>
      <c r="H203" s="47"/>
      <c r="I203" s="47"/>
      <c r="J203" s="48"/>
      <c r="K203" s="46">
        <v>11</v>
      </c>
      <c r="L203" s="47"/>
      <c r="M203" s="47"/>
      <c r="N203" s="48"/>
      <c r="O203" s="46" t="s">
        <v>229</v>
      </c>
      <c r="P203" s="47"/>
      <c r="Q203" s="48"/>
      <c r="R203" s="49" t="s">
        <v>230</v>
      </c>
      <c r="S203" s="48"/>
      <c r="T203" s="49" t="s">
        <v>230</v>
      </c>
      <c r="U203" s="48"/>
      <c r="V203" s="46"/>
      <c r="W203" s="48"/>
      <c r="X203" s="50"/>
      <c r="Y203" s="51"/>
    </row>
    <row r="204" spans="1:25" ht="48" customHeight="1" x14ac:dyDescent="0.3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 spans="1:25" ht="15.75" customHeight="1" x14ac:dyDescent="0.25"/>
    <row r="206" spans="1:25" ht="15.75" customHeight="1" x14ac:dyDescent="0.25"/>
    <row r="207" spans="1:25" ht="15.75" customHeight="1" x14ac:dyDescent="0.25"/>
    <row r="208" spans="1:25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</sheetData>
  <mergeCells count="1240">
    <mergeCell ref="V203:W203"/>
    <mergeCell ref="X203:Y203"/>
    <mergeCell ref="C203:F203"/>
    <mergeCell ref="G203:J203"/>
    <mergeCell ref="K203:N203"/>
    <mergeCell ref="O203:Q203"/>
    <mergeCell ref="R203:S203"/>
    <mergeCell ref="T203:U203"/>
    <mergeCell ref="X201:Y201"/>
    <mergeCell ref="C202:F202"/>
    <mergeCell ref="G202:J202"/>
    <mergeCell ref="K202:N202"/>
    <mergeCell ref="O202:Q202"/>
    <mergeCell ref="R202:S202"/>
    <mergeCell ref="T202:U202"/>
    <mergeCell ref="V202:W202"/>
    <mergeCell ref="X202:Y202"/>
    <mergeCell ref="C200:F200"/>
    <mergeCell ref="G200:J200"/>
    <mergeCell ref="K200:W200"/>
    <mergeCell ref="C201:F201"/>
    <mergeCell ref="G201:J201"/>
    <mergeCell ref="K201:N201"/>
    <mergeCell ref="O201:Q201"/>
    <mergeCell ref="R201:S201"/>
    <mergeCell ref="T201:U201"/>
    <mergeCell ref="V201:W201"/>
    <mergeCell ref="X197:Y197"/>
    <mergeCell ref="C198:F198"/>
    <mergeCell ref="G198:J198"/>
    <mergeCell ref="K198:N198"/>
    <mergeCell ref="O198:Q198"/>
    <mergeCell ref="R198:S198"/>
    <mergeCell ref="T198:U198"/>
    <mergeCell ref="V198:W198"/>
    <mergeCell ref="X198:Y198"/>
    <mergeCell ref="T196:U196"/>
    <mergeCell ref="V196:W196"/>
    <mergeCell ref="X196:Y196"/>
    <mergeCell ref="C197:F197"/>
    <mergeCell ref="G197:J197"/>
    <mergeCell ref="K197:N197"/>
    <mergeCell ref="O197:Q197"/>
    <mergeCell ref="R197:S197"/>
    <mergeCell ref="T197:U197"/>
    <mergeCell ref="V197:W197"/>
    <mergeCell ref="V193:W193"/>
    <mergeCell ref="X193:Y193"/>
    <mergeCell ref="C195:F195"/>
    <mergeCell ref="G195:J195"/>
    <mergeCell ref="K195:W195"/>
    <mergeCell ref="C196:F196"/>
    <mergeCell ref="G196:J196"/>
    <mergeCell ref="K196:N196"/>
    <mergeCell ref="O196:Q196"/>
    <mergeCell ref="R196:S196"/>
    <mergeCell ref="C193:F193"/>
    <mergeCell ref="G193:J193"/>
    <mergeCell ref="K193:N193"/>
    <mergeCell ref="O193:Q193"/>
    <mergeCell ref="R193:S193"/>
    <mergeCell ref="T193:U193"/>
    <mergeCell ref="X191:Y191"/>
    <mergeCell ref="C192:F192"/>
    <mergeCell ref="G192:J192"/>
    <mergeCell ref="K192:N192"/>
    <mergeCell ref="O192:Q192"/>
    <mergeCell ref="R192:S192"/>
    <mergeCell ref="T192:U192"/>
    <mergeCell ref="V192:W192"/>
    <mergeCell ref="X192:Y192"/>
    <mergeCell ref="C190:F190"/>
    <mergeCell ref="G190:J190"/>
    <mergeCell ref="K190:W190"/>
    <mergeCell ref="C191:F191"/>
    <mergeCell ref="G191:J191"/>
    <mergeCell ref="K191:N191"/>
    <mergeCell ref="O191:Q191"/>
    <mergeCell ref="R191:S191"/>
    <mergeCell ref="T191:U191"/>
    <mergeCell ref="V191:W191"/>
    <mergeCell ref="X187:Y187"/>
    <mergeCell ref="C188:F188"/>
    <mergeCell ref="G188:J188"/>
    <mergeCell ref="K188:N188"/>
    <mergeCell ref="O188:Q188"/>
    <mergeCell ref="R188:S188"/>
    <mergeCell ref="T188:U188"/>
    <mergeCell ref="V188:W188"/>
    <mergeCell ref="X188:Y188"/>
    <mergeCell ref="T186:U186"/>
    <mergeCell ref="V186:W186"/>
    <mergeCell ref="X186:Y186"/>
    <mergeCell ref="C187:F187"/>
    <mergeCell ref="G187:J187"/>
    <mergeCell ref="K187:N187"/>
    <mergeCell ref="O187:Q187"/>
    <mergeCell ref="R187:S187"/>
    <mergeCell ref="T187:U187"/>
    <mergeCell ref="V187:W187"/>
    <mergeCell ref="V183:W183"/>
    <mergeCell ref="X183:Y183"/>
    <mergeCell ref="C185:F185"/>
    <mergeCell ref="G185:J185"/>
    <mergeCell ref="K185:W185"/>
    <mergeCell ref="C186:F186"/>
    <mergeCell ref="G186:J186"/>
    <mergeCell ref="K186:N186"/>
    <mergeCell ref="O186:Q186"/>
    <mergeCell ref="R186:S186"/>
    <mergeCell ref="C183:F183"/>
    <mergeCell ref="G183:J183"/>
    <mergeCell ref="K183:N183"/>
    <mergeCell ref="O183:Q183"/>
    <mergeCell ref="R183:S183"/>
    <mergeCell ref="T183:U183"/>
    <mergeCell ref="X181:Y181"/>
    <mergeCell ref="C182:F182"/>
    <mergeCell ref="G182:J182"/>
    <mergeCell ref="K182:N182"/>
    <mergeCell ref="O182:Q182"/>
    <mergeCell ref="R182:S182"/>
    <mergeCell ref="T182:U182"/>
    <mergeCell ref="V182:W182"/>
    <mergeCell ref="X182:Y182"/>
    <mergeCell ref="C180:F180"/>
    <mergeCell ref="G180:J180"/>
    <mergeCell ref="K180:W180"/>
    <mergeCell ref="C181:F181"/>
    <mergeCell ref="G181:J181"/>
    <mergeCell ref="K181:N181"/>
    <mergeCell ref="O181:Q181"/>
    <mergeCell ref="R181:S181"/>
    <mergeCell ref="T181:U181"/>
    <mergeCell ref="V181:W181"/>
    <mergeCell ref="V177:W177"/>
    <mergeCell ref="X177:Y177"/>
    <mergeCell ref="C178:F178"/>
    <mergeCell ref="G178:J178"/>
    <mergeCell ref="K178:N178"/>
    <mergeCell ref="O178:Q178"/>
    <mergeCell ref="R178:S178"/>
    <mergeCell ref="T178:U178"/>
    <mergeCell ref="V178:W178"/>
    <mergeCell ref="X178:Y178"/>
    <mergeCell ref="C177:F177"/>
    <mergeCell ref="G177:J177"/>
    <mergeCell ref="K177:N177"/>
    <mergeCell ref="O177:Q177"/>
    <mergeCell ref="R177:S177"/>
    <mergeCell ref="T177:U177"/>
    <mergeCell ref="V176:W176"/>
    <mergeCell ref="X176:Y176"/>
    <mergeCell ref="C176:F176"/>
    <mergeCell ref="G176:J176"/>
    <mergeCell ref="K176:N176"/>
    <mergeCell ref="O176:Q176"/>
    <mergeCell ref="R176:S176"/>
    <mergeCell ref="T176:U176"/>
    <mergeCell ref="X174:Y174"/>
    <mergeCell ref="C175:F175"/>
    <mergeCell ref="G175:J175"/>
    <mergeCell ref="K175:N175"/>
    <mergeCell ref="O175:Q175"/>
    <mergeCell ref="R175:S175"/>
    <mergeCell ref="T175:U175"/>
    <mergeCell ref="V175:W175"/>
    <mergeCell ref="X175:Y175"/>
    <mergeCell ref="C173:F173"/>
    <mergeCell ref="G173:J173"/>
    <mergeCell ref="K173:W173"/>
    <mergeCell ref="C174:F174"/>
    <mergeCell ref="G174:J174"/>
    <mergeCell ref="K174:N174"/>
    <mergeCell ref="O174:Q174"/>
    <mergeCell ref="R174:S174"/>
    <mergeCell ref="T174:U174"/>
    <mergeCell ref="V174:W174"/>
    <mergeCell ref="V170:W170"/>
    <mergeCell ref="X170:Y170"/>
    <mergeCell ref="C171:F171"/>
    <mergeCell ref="G171:J171"/>
    <mergeCell ref="K171:N171"/>
    <mergeCell ref="O171:Q171"/>
    <mergeCell ref="R171:S171"/>
    <mergeCell ref="T171:U171"/>
    <mergeCell ref="V171:W171"/>
    <mergeCell ref="X171:Y171"/>
    <mergeCell ref="C170:F170"/>
    <mergeCell ref="G170:J170"/>
    <mergeCell ref="K170:N170"/>
    <mergeCell ref="O170:Q170"/>
    <mergeCell ref="R170:S170"/>
    <mergeCell ref="T170:U170"/>
    <mergeCell ref="X168:Y168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T167:U167"/>
    <mergeCell ref="V167:W167"/>
    <mergeCell ref="X167:Y167"/>
    <mergeCell ref="C168:F168"/>
    <mergeCell ref="G168:J168"/>
    <mergeCell ref="K168:N168"/>
    <mergeCell ref="O168:Q168"/>
    <mergeCell ref="R168:S168"/>
    <mergeCell ref="T168:U168"/>
    <mergeCell ref="V168:W168"/>
    <mergeCell ref="V164:W164"/>
    <mergeCell ref="X164:Y164"/>
    <mergeCell ref="C166:F166"/>
    <mergeCell ref="G166:J166"/>
    <mergeCell ref="K166:W166"/>
    <mergeCell ref="C167:F167"/>
    <mergeCell ref="G167:J167"/>
    <mergeCell ref="K167:N167"/>
    <mergeCell ref="O167:Q167"/>
    <mergeCell ref="R167:S167"/>
    <mergeCell ref="C164:F164"/>
    <mergeCell ref="G164:J164"/>
    <mergeCell ref="K164:N164"/>
    <mergeCell ref="O164:Q164"/>
    <mergeCell ref="R164:S164"/>
    <mergeCell ref="T164:U164"/>
    <mergeCell ref="V162:W162"/>
    <mergeCell ref="X162:Y162"/>
    <mergeCell ref="C163:F163"/>
    <mergeCell ref="G163:J163"/>
    <mergeCell ref="K163:N163"/>
    <mergeCell ref="O163:Q163"/>
    <mergeCell ref="R163:S163"/>
    <mergeCell ref="T163:U163"/>
    <mergeCell ref="V163:W163"/>
    <mergeCell ref="X163:Y163"/>
    <mergeCell ref="C162:F162"/>
    <mergeCell ref="G162:J162"/>
    <mergeCell ref="K162:N162"/>
    <mergeCell ref="O162:Q162"/>
    <mergeCell ref="R162:S162"/>
    <mergeCell ref="T162:U162"/>
    <mergeCell ref="X160:Y160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T159:U159"/>
    <mergeCell ref="V159:W159"/>
    <mergeCell ref="X159:Y159"/>
    <mergeCell ref="C160:F160"/>
    <mergeCell ref="G160:J160"/>
    <mergeCell ref="K160:N160"/>
    <mergeCell ref="O160:Q160"/>
    <mergeCell ref="R160:S160"/>
    <mergeCell ref="T160:U160"/>
    <mergeCell ref="V160:W160"/>
    <mergeCell ref="V156:W156"/>
    <mergeCell ref="X156:Y156"/>
    <mergeCell ref="C158:F158"/>
    <mergeCell ref="G158:J158"/>
    <mergeCell ref="K158:W158"/>
    <mergeCell ref="C159:F159"/>
    <mergeCell ref="G159:J159"/>
    <mergeCell ref="K159:N159"/>
    <mergeCell ref="O159:Q159"/>
    <mergeCell ref="R159:S159"/>
    <mergeCell ref="C156:F156"/>
    <mergeCell ref="G156:J156"/>
    <mergeCell ref="K156:N156"/>
    <mergeCell ref="O156:Q156"/>
    <mergeCell ref="R156:S156"/>
    <mergeCell ref="T156:U156"/>
    <mergeCell ref="V154:W154"/>
    <mergeCell ref="X154:Y154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4:F154"/>
    <mergeCell ref="G154:J154"/>
    <mergeCell ref="K154:N154"/>
    <mergeCell ref="O154:Q154"/>
    <mergeCell ref="R154:S154"/>
    <mergeCell ref="T154:U154"/>
    <mergeCell ref="X152:Y152"/>
    <mergeCell ref="C153:F153"/>
    <mergeCell ref="G153:J153"/>
    <mergeCell ref="K153:N153"/>
    <mergeCell ref="O153:Q153"/>
    <mergeCell ref="R153:S153"/>
    <mergeCell ref="T153:U153"/>
    <mergeCell ref="V153:W153"/>
    <mergeCell ref="X153:Y153"/>
    <mergeCell ref="T151:U151"/>
    <mergeCell ref="V151:W151"/>
    <mergeCell ref="X151:Y151"/>
    <mergeCell ref="C152:F152"/>
    <mergeCell ref="G152:J152"/>
    <mergeCell ref="K152:N152"/>
    <mergeCell ref="O152:Q152"/>
    <mergeCell ref="R152:S152"/>
    <mergeCell ref="T152:U152"/>
    <mergeCell ref="V152:W152"/>
    <mergeCell ref="V148:W148"/>
    <mergeCell ref="X148:Y148"/>
    <mergeCell ref="C150:F150"/>
    <mergeCell ref="G150:J150"/>
    <mergeCell ref="K150:W150"/>
    <mergeCell ref="C151:F151"/>
    <mergeCell ref="G151:J151"/>
    <mergeCell ref="K151:N151"/>
    <mergeCell ref="O151:Q151"/>
    <mergeCell ref="R151:S151"/>
    <mergeCell ref="C148:F148"/>
    <mergeCell ref="G148:J148"/>
    <mergeCell ref="K148:N148"/>
    <mergeCell ref="O148:Q148"/>
    <mergeCell ref="R148:S148"/>
    <mergeCell ref="T148:U148"/>
    <mergeCell ref="V146:W146"/>
    <mergeCell ref="X146:Y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46:F146"/>
    <mergeCell ref="G146:J146"/>
    <mergeCell ref="K146:N146"/>
    <mergeCell ref="O146:Q146"/>
    <mergeCell ref="R146:S146"/>
    <mergeCell ref="T146:U146"/>
    <mergeCell ref="X144:Y144"/>
    <mergeCell ref="C145:F145"/>
    <mergeCell ref="G145:J145"/>
    <mergeCell ref="K145:N145"/>
    <mergeCell ref="O145:Q145"/>
    <mergeCell ref="R145:S145"/>
    <mergeCell ref="T145:U145"/>
    <mergeCell ref="V145:W145"/>
    <mergeCell ref="X145:Y145"/>
    <mergeCell ref="T143:U143"/>
    <mergeCell ref="V143:W143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V140:W140"/>
    <mergeCell ref="X140:Y140"/>
    <mergeCell ref="C142:F142"/>
    <mergeCell ref="G142:J142"/>
    <mergeCell ref="K142:W142"/>
    <mergeCell ref="C143:F143"/>
    <mergeCell ref="G143:J143"/>
    <mergeCell ref="K143:N143"/>
    <mergeCell ref="O143:Q143"/>
    <mergeCell ref="R143:S143"/>
    <mergeCell ref="C140:F140"/>
    <mergeCell ref="G140:J140"/>
    <mergeCell ref="K140:N140"/>
    <mergeCell ref="O140:Q140"/>
    <mergeCell ref="R140:S140"/>
    <mergeCell ref="T140:U140"/>
    <mergeCell ref="V138:W138"/>
    <mergeCell ref="X138:Y138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38:F138"/>
    <mergeCell ref="G138:J138"/>
    <mergeCell ref="K138:N138"/>
    <mergeCell ref="O138:Q138"/>
    <mergeCell ref="R138:S138"/>
    <mergeCell ref="T138:U138"/>
    <mergeCell ref="X136:Y136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T135:U135"/>
    <mergeCell ref="V135:W135"/>
    <mergeCell ref="X135:Y135"/>
    <mergeCell ref="C136:F136"/>
    <mergeCell ref="G136:J136"/>
    <mergeCell ref="K136:N136"/>
    <mergeCell ref="O136:Q136"/>
    <mergeCell ref="R136:S136"/>
    <mergeCell ref="T136:U136"/>
    <mergeCell ref="V136:W136"/>
    <mergeCell ref="V132:W132"/>
    <mergeCell ref="X132:Y132"/>
    <mergeCell ref="C134:F134"/>
    <mergeCell ref="G134:J134"/>
    <mergeCell ref="K134:W134"/>
    <mergeCell ref="C135:F135"/>
    <mergeCell ref="G135:J135"/>
    <mergeCell ref="K135:N135"/>
    <mergeCell ref="O135:Q135"/>
    <mergeCell ref="R135:S135"/>
    <mergeCell ref="C132:F132"/>
    <mergeCell ref="G132:J132"/>
    <mergeCell ref="K132:N132"/>
    <mergeCell ref="O132:Q132"/>
    <mergeCell ref="R132:S132"/>
    <mergeCell ref="T132:U132"/>
    <mergeCell ref="V130:W130"/>
    <mergeCell ref="X130:Y130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30:F130"/>
    <mergeCell ref="G130:J130"/>
    <mergeCell ref="K130:N130"/>
    <mergeCell ref="O130:Q130"/>
    <mergeCell ref="R130:S130"/>
    <mergeCell ref="T130:U130"/>
    <mergeCell ref="X128:Y128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27:F127"/>
    <mergeCell ref="G127:J127"/>
    <mergeCell ref="K127:W127"/>
    <mergeCell ref="C128:F128"/>
    <mergeCell ref="G128:J128"/>
    <mergeCell ref="K128:N128"/>
    <mergeCell ref="O128:Q128"/>
    <mergeCell ref="R128:S128"/>
    <mergeCell ref="T128:U128"/>
    <mergeCell ref="V128:W128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4:F124"/>
    <mergeCell ref="G124:J124"/>
    <mergeCell ref="K124:N124"/>
    <mergeCell ref="O124:Q124"/>
    <mergeCell ref="R124:S124"/>
    <mergeCell ref="T124:U124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T121:U121"/>
    <mergeCell ref="V121:W121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V118:W118"/>
    <mergeCell ref="X118:Y118"/>
    <mergeCell ref="C120:F120"/>
    <mergeCell ref="G120:J120"/>
    <mergeCell ref="K120:W120"/>
    <mergeCell ref="C121:F121"/>
    <mergeCell ref="G121:J121"/>
    <mergeCell ref="K121:N121"/>
    <mergeCell ref="O121:Q121"/>
    <mergeCell ref="R121:S121"/>
    <mergeCell ref="C118:F118"/>
    <mergeCell ref="G118:J118"/>
    <mergeCell ref="K118:N118"/>
    <mergeCell ref="O118:Q118"/>
    <mergeCell ref="R118:S118"/>
    <mergeCell ref="T118:U118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6:F116"/>
    <mergeCell ref="G116:J116"/>
    <mergeCell ref="K116:N116"/>
    <mergeCell ref="O116:Q116"/>
    <mergeCell ref="R116:S116"/>
    <mergeCell ref="T116:U116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V110:W110"/>
    <mergeCell ref="X110:Y110"/>
    <mergeCell ref="C112:F112"/>
    <mergeCell ref="G112:J112"/>
    <mergeCell ref="K112:W112"/>
    <mergeCell ref="C113:F113"/>
    <mergeCell ref="G113:J113"/>
    <mergeCell ref="K113:N113"/>
    <mergeCell ref="O113:Q113"/>
    <mergeCell ref="R113:S113"/>
    <mergeCell ref="C110:F110"/>
    <mergeCell ref="G110:J110"/>
    <mergeCell ref="K110:N110"/>
    <mergeCell ref="O110:Q110"/>
    <mergeCell ref="R110:S110"/>
    <mergeCell ref="T110:U110"/>
    <mergeCell ref="V108:W108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08:F108"/>
    <mergeCell ref="G108:J108"/>
    <mergeCell ref="K108:N108"/>
    <mergeCell ref="O108:Q108"/>
    <mergeCell ref="R108:S108"/>
    <mergeCell ref="T108:U108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V102:W102"/>
    <mergeCell ref="X102:Y102"/>
    <mergeCell ref="C104:F104"/>
    <mergeCell ref="G104:J104"/>
    <mergeCell ref="K104:W104"/>
    <mergeCell ref="C105:F105"/>
    <mergeCell ref="G105:J105"/>
    <mergeCell ref="K105:N105"/>
    <mergeCell ref="O105:Q105"/>
    <mergeCell ref="R105:S105"/>
    <mergeCell ref="C102:F102"/>
    <mergeCell ref="G102:J102"/>
    <mergeCell ref="K102:N102"/>
    <mergeCell ref="O102:Q102"/>
    <mergeCell ref="R102:S102"/>
    <mergeCell ref="T102:U102"/>
    <mergeCell ref="V100:W100"/>
    <mergeCell ref="X100:Y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100:F100"/>
    <mergeCell ref="G100:J100"/>
    <mergeCell ref="K100:N100"/>
    <mergeCell ref="O100:Q100"/>
    <mergeCell ref="R100:S100"/>
    <mergeCell ref="T100:U100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T97:U97"/>
    <mergeCell ref="V97:W97"/>
    <mergeCell ref="X97:Y97"/>
    <mergeCell ref="C98:F98"/>
    <mergeCell ref="G98:J98"/>
    <mergeCell ref="K98:N98"/>
    <mergeCell ref="O98:Q98"/>
    <mergeCell ref="R98:S98"/>
    <mergeCell ref="T98:U98"/>
    <mergeCell ref="V98:W98"/>
    <mergeCell ref="V94:W94"/>
    <mergeCell ref="X94:Y94"/>
    <mergeCell ref="C96:F96"/>
    <mergeCell ref="G96:J96"/>
    <mergeCell ref="K96:W96"/>
    <mergeCell ref="C97:F97"/>
    <mergeCell ref="G97:J97"/>
    <mergeCell ref="K97:N97"/>
    <mergeCell ref="O97:Q97"/>
    <mergeCell ref="R97:S97"/>
    <mergeCell ref="C94:F94"/>
    <mergeCell ref="G94:J94"/>
    <mergeCell ref="K94:N94"/>
    <mergeCell ref="O94:Q94"/>
    <mergeCell ref="R94:S94"/>
    <mergeCell ref="T94:U94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2:F92"/>
    <mergeCell ref="G92:J92"/>
    <mergeCell ref="K92:N92"/>
    <mergeCell ref="O92:Q92"/>
    <mergeCell ref="R92:S92"/>
    <mergeCell ref="T92:U92"/>
    <mergeCell ref="V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90:F90"/>
    <mergeCell ref="G90:J90"/>
    <mergeCell ref="K90:N90"/>
    <mergeCell ref="O90:Q90"/>
    <mergeCell ref="R90:S90"/>
    <mergeCell ref="T90:U90"/>
    <mergeCell ref="X88:Y88"/>
    <mergeCell ref="C89:F89"/>
    <mergeCell ref="G89:J89"/>
    <mergeCell ref="K89:N89"/>
    <mergeCell ref="O89:Q89"/>
    <mergeCell ref="R89:S89"/>
    <mergeCell ref="T89:U89"/>
    <mergeCell ref="V89:W89"/>
    <mergeCell ref="X89:Y89"/>
    <mergeCell ref="C87:F87"/>
    <mergeCell ref="G87:J87"/>
    <mergeCell ref="K87:W87"/>
    <mergeCell ref="C88:F88"/>
    <mergeCell ref="G88:J88"/>
    <mergeCell ref="K88:N88"/>
    <mergeCell ref="O88:Q88"/>
    <mergeCell ref="R88:S88"/>
    <mergeCell ref="T88:U88"/>
    <mergeCell ref="V88:W88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84:F84"/>
    <mergeCell ref="G84:J84"/>
    <mergeCell ref="K84:N84"/>
    <mergeCell ref="O84:Q84"/>
    <mergeCell ref="R84:S84"/>
    <mergeCell ref="T84:U84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82:F82"/>
    <mergeCell ref="G82:J82"/>
    <mergeCell ref="K82:N82"/>
    <mergeCell ref="O82:Q82"/>
    <mergeCell ref="R82:S82"/>
    <mergeCell ref="T82:U82"/>
    <mergeCell ref="X80:Y80"/>
    <mergeCell ref="C81:F81"/>
    <mergeCell ref="G81:J81"/>
    <mergeCell ref="K81:N81"/>
    <mergeCell ref="O81:Q81"/>
    <mergeCell ref="R81:S81"/>
    <mergeCell ref="T81:U81"/>
    <mergeCell ref="V81:W81"/>
    <mergeCell ref="X81:Y81"/>
    <mergeCell ref="C79:F79"/>
    <mergeCell ref="G79:J79"/>
    <mergeCell ref="K79:W79"/>
    <mergeCell ref="C80:F80"/>
    <mergeCell ref="G80:J80"/>
    <mergeCell ref="K80:N80"/>
    <mergeCell ref="O80:Q80"/>
    <mergeCell ref="R80:S80"/>
    <mergeCell ref="T80:U80"/>
    <mergeCell ref="V80:W80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76:F76"/>
    <mergeCell ref="G76:J76"/>
    <mergeCell ref="K76:N76"/>
    <mergeCell ref="O76:Q76"/>
    <mergeCell ref="R76:S76"/>
    <mergeCell ref="T76:U76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4:F74"/>
    <mergeCell ref="G74:J74"/>
    <mergeCell ref="K74:N74"/>
    <mergeCell ref="O74:Q74"/>
    <mergeCell ref="R74:S74"/>
    <mergeCell ref="T74:U74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71:F71"/>
    <mergeCell ref="G71:J71"/>
    <mergeCell ref="K71:W71"/>
    <mergeCell ref="C72:F72"/>
    <mergeCell ref="G72:J72"/>
    <mergeCell ref="K72:N72"/>
    <mergeCell ref="O72:Q72"/>
    <mergeCell ref="R72:S72"/>
    <mergeCell ref="T72:U72"/>
    <mergeCell ref="V72:W72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68:F68"/>
    <mergeCell ref="G68:J68"/>
    <mergeCell ref="K68:N68"/>
    <mergeCell ref="O68:Q68"/>
    <mergeCell ref="R68:S68"/>
    <mergeCell ref="T68:U68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6:F66"/>
    <mergeCell ref="G66:J66"/>
    <mergeCell ref="K66:N66"/>
    <mergeCell ref="O66:Q66"/>
    <mergeCell ref="R66:S66"/>
    <mergeCell ref="T66:U66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63:F63"/>
    <mergeCell ref="G63:J63"/>
    <mergeCell ref="K63:W63"/>
    <mergeCell ref="C64:F64"/>
    <mergeCell ref="G64:J64"/>
    <mergeCell ref="K64:N64"/>
    <mergeCell ref="O64:Q64"/>
    <mergeCell ref="R64:S64"/>
    <mergeCell ref="T64:U64"/>
    <mergeCell ref="V64:W64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0:F60"/>
    <mergeCell ref="G60:J60"/>
    <mergeCell ref="K60:N60"/>
    <mergeCell ref="O60:Q60"/>
    <mergeCell ref="R60:S60"/>
    <mergeCell ref="T60:U60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58:F58"/>
    <mergeCell ref="G58:J58"/>
    <mergeCell ref="K58:N58"/>
    <mergeCell ref="O58:Q58"/>
    <mergeCell ref="R58:S58"/>
    <mergeCell ref="T58:U58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T55:U55"/>
    <mergeCell ref="V55:W55"/>
    <mergeCell ref="X55:Y55"/>
    <mergeCell ref="C56:F56"/>
    <mergeCell ref="G56:J56"/>
    <mergeCell ref="K56:N56"/>
    <mergeCell ref="O56:Q56"/>
    <mergeCell ref="R56:S56"/>
    <mergeCell ref="T56:U56"/>
    <mergeCell ref="V56:W56"/>
    <mergeCell ref="V52:W52"/>
    <mergeCell ref="X52:Y52"/>
    <mergeCell ref="C54:F54"/>
    <mergeCell ref="G54:J54"/>
    <mergeCell ref="K54:W54"/>
    <mergeCell ref="C55:F55"/>
    <mergeCell ref="G55:J55"/>
    <mergeCell ref="K55:N55"/>
    <mergeCell ref="O55:Q55"/>
    <mergeCell ref="R55:S55"/>
    <mergeCell ref="C52:F52"/>
    <mergeCell ref="G52:J52"/>
    <mergeCell ref="K52:N52"/>
    <mergeCell ref="O52:Q52"/>
    <mergeCell ref="R52:S52"/>
    <mergeCell ref="T52:U52"/>
    <mergeCell ref="V50:W50"/>
    <mergeCell ref="X50:Y50"/>
    <mergeCell ref="C51:F51"/>
    <mergeCell ref="G51:J51"/>
    <mergeCell ref="K51:N51"/>
    <mergeCell ref="O51:Q51"/>
    <mergeCell ref="R51:S51"/>
    <mergeCell ref="T51:U51"/>
    <mergeCell ref="V51:W51"/>
    <mergeCell ref="X51:Y51"/>
    <mergeCell ref="C50:F50"/>
    <mergeCell ref="G50:J50"/>
    <mergeCell ref="K50:N50"/>
    <mergeCell ref="O50:Q50"/>
    <mergeCell ref="R50:S50"/>
    <mergeCell ref="T50:U50"/>
    <mergeCell ref="X48:Y48"/>
    <mergeCell ref="C49:F49"/>
    <mergeCell ref="G49:J49"/>
    <mergeCell ref="K49:N49"/>
    <mergeCell ref="O49:Q49"/>
    <mergeCell ref="R49:S49"/>
    <mergeCell ref="T49:U49"/>
    <mergeCell ref="V49:W49"/>
    <mergeCell ref="X49:Y49"/>
    <mergeCell ref="T47:U47"/>
    <mergeCell ref="V47:W47"/>
    <mergeCell ref="X47:Y47"/>
    <mergeCell ref="C48:F48"/>
    <mergeCell ref="G48:J48"/>
    <mergeCell ref="K48:N48"/>
    <mergeCell ref="O48:Q48"/>
    <mergeCell ref="R48:S48"/>
    <mergeCell ref="T48:U48"/>
    <mergeCell ref="V48:W48"/>
    <mergeCell ref="V44:W44"/>
    <mergeCell ref="X44:Y44"/>
    <mergeCell ref="C46:F46"/>
    <mergeCell ref="G46:J46"/>
    <mergeCell ref="K46:W46"/>
    <mergeCell ref="C47:F47"/>
    <mergeCell ref="G47:J47"/>
    <mergeCell ref="K47:N47"/>
    <mergeCell ref="O47:Q47"/>
    <mergeCell ref="R47:S47"/>
    <mergeCell ref="C44:F44"/>
    <mergeCell ref="G44:J44"/>
    <mergeCell ref="K44:N44"/>
    <mergeCell ref="O44:Q44"/>
    <mergeCell ref="R44:S44"/>
    <mergeCell ref="T44:U44"/>
    <mergeCell ref="X42:Y42"/>
    <mergeCell ref="C43:F43"/>
    <mergeCell ref="G43:J43"/>
    <mergeCell ref="K43:N43"/>
    <mergeCell ref="O43:Q43"/>
    <mergeCell ref="R43:S43"/>
    <mergeCell ref="T43:U43"/>
    <mergeCell ref="V43:W43"/>
    <mergeCell ref="X43:Y43"/>
    <mergeCell ref="C41:F41"/>
    <mergeCell ref="G41:J41"/>
    <mergeCell ref="K41:W41"/>
    <mergeCell ref="C42:F42"/>
    <mergeCell ref="G42:J42"/>
    <mergeCell ref="K42:N42"/>
    <mergeCell ref="O42:Q42"/>
    <mergeCell ref="R42:S42"/>
    <mergeCell ref="T42:U42"/>
    <mergeCell ref="V42:W42"/>
    <mergeCell ref="V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C38:F38"/>
    <mergeCell ref="G38:J38"/>
    <mergeCell ref="K38:N38"/>
    <mergeCell ref="O38:Q38"/>
    <mergeCell ref="R38:S38"/>
    <mergeCell ref="T38:U38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35:F35"/>
    <mergeCell ref="G35:J35"/>
    <mergeCell ref="K35:W35"/>
    <mergeCell ref="C36:F36"/>
    <mergeCell ref="G36:J36"/>
    <mergeCell ref="K36:N36"/>
    <mergeCell ref="O36:Q36"/>
    <mergeCell ref="R36:S36"/>
    <mergeCell ref="T36:U36"/>
    <mergeCell ref="V36:W36"/>
    <mergeCell ref="V32:W32"/>
    <mergeCell ref="X32:Y32"/>
    <mergeCell ref="C33:F33"/>
    <mergeCell ref="G33:J33"/>
    <mergeCell ref="K33:N33"/>
    <mergeCell ref="O33:Q33"/>
    <mergeCell ref="R33:S33"/>
    <mergeCell ref="T33:U33"/>
    <mergeCell ref="V33:W33"/>
    <mergeCell ref="X33:Y33"/>
    <mergeCell ref="C32:F32"/>
    <mergeCell ref="G32:J32"/>
    <mergeCell ref="K32:N32"/>
    <mergeCell ref="O32:Q32"/>
    <mergeCell ref="R32:S32"/>
    <mergeCell ref="T32:U32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C29:F29"/>
    <mergeCell ref="G29:J29"/>
    <mergeCell ref="K29:W29"/>
    <mergeCell ref="C30:F30"/>
    <mergeCell ref="G30:J30"/>
    <mergeCell ref="K30:N30"/>
    <mergeCell ref="O30:Q30"/>
    <mergeCell ref="R30:S30"/>
    <mergeCell ref="T30:U30"/>
    <mergeCell ref="V30:W30"/>
    <mergeCell ref="V26:W26"/>
    <mergeCell ref="X26:Y26"/>
    <mergeCell ref="C27:F27"/>
    <mergeCell ref="G27:J27"/>
    <mergeCell ref="K27:N27"/>
    <mergeCell ref="O27:Q27"/>
    <mergeCell ref="R27:S27"/>
    <mergeCell ref="T27:U27"/>
    <mergeCell ref="V27:W27"/>
    <mergeCell ref="X27:Y27"/>
    <mergeCell ref="C26:F26"/>
    <mergeCell ref="G26:J26"/>
    <mergeCell ref="K26:N26"/>
    <mergeCell ref="O26:Q26"/>
    <mergeCell ref="R26:S26"/>
    <mergeCell ref="T26:U26"/>
    <mergeCell ref="X24:Y24"/>
    <mergeCell ref="C25:F25"/>
    <mergeCell ref="G25:J25"/>
    <mergeCell ref="K25:N25"/>
    <mergeCell ref="O25:Q25"/>
    <mergeCell ref="R25:S25"/>
    <mergeCell ref="T25:U25"/>
    <mergeCell ref="V25:W25"/>
    <mergeCell ref="X25:Y25"/>
    <mergeCell ref="C23:F23"/>
    <mergeCell ref="G23:J23"/>
    <mergeCell ref="K23:W23"/>
    <mergeCell ref="C24:F24"/>
    <mergeCell ref="G24:J24"/>
    <mergeCell ref="K24:N24"/>
    <mergeCell ref="O24:Q24"/>
    <mergeCell ref="R24:S24"/>
    <mergeCell ref="T24:U24"/>
    <mergeCell ref="V24:W24"/>
    <mergeCell ref="V20:W20"/>
    <mergeCell ref="X20:Y20"/>
    <mergeCell ref="C21:F21"/>
    <mergeCell ref="G21:J21"/>
    <mergeCell ref="K21:N21"/>
    <mergeCell ref="O21:Q21"/>
    <mergeCell ref="R21:S21"/>
    <mergeCell ref="T21:U21"/>
    <mergeCell ref="V21:W21"/>
    <mergeCell ref="X21:Y21"/>
    <mergeCell ref="C20:F20"/>
    <mergeCell ref="G20:J20"/>
    <mergeCell ref="K20:N20"/>
    <mergeCell ref="O20:Q20"/>
    <mergeCell ref="R20:S20"/>
    <mergeCell ref="T20:U20"/>
    <mergeCell ref="X18:Y18"/>
    <mergeCell ref="C19:F19"/>
    <mergeCell ref="G19:J19"/>
    <mergeCell ref="K19:N19"/>
    <mergeCell ref="O19:Q19"/>
    <mergeCell ref="R19:S19"/>
    <mergeCell ref="T19:U19"/>
    <mergeCell ref="V19:W19"/>
    <mergeCell ref="X19:Y19"/>
    <mergeCell ref="C17:F17"/>
    <mergeCell ref="G17:J17"/>
    <mergeCell ref="K17:W17"/>
    <mergeCell ref="C18:F18"/>
    <mergeCell ref="G18:J18"/>
    <mergeCell ref="K18:N18"/>
    <mergeCell ref="O18:Q18"/>
    <mergeCell ref="R18:S18"/>
    <mergeCell ref="T18:U18"/>
    <mergeCell ref="V18:W18"/>
    <mergeCell ref="V14:W14"/>
    <mergeCell ref="X14:Y14"/>
    <mergeCell ref="C15:F15"/>
    <mergeCell ref="G15:J15"/>
    <mergeCell ref="K15:N15"/>
    <mergeCell ref="O15:Q15"/>
    <mergeCell ref="R15:S15"/>
    <mergeCell ref="T15:U15"/>
    <mergeCell ref="V15:W15"/>
    <mergeCell ref="X15:Y15"/>
    <mergeCell ref="C14:F14"/>
    <mergeCell ref="G14:J14"/>
    <mergeCell ref="K14:N14"/>
    <mergeCell ref="O14:Q14"/>
    <mergeCell ref="R14:S14"/>
    <mergeCell ref="T14:U14"/>
    <mergeCell ref="X12:Y12"/>
    <mergeCell ref="C13:F13"/>
    <mergeCell ref="G13:J13"/>
    <mergeCell ref="K13:N13"/>
    <mergeCell ref="O13:Q13"/>
    <mergeCell ref="R13:S13"/>
    <mergeCell ref="T13:U13"/>
    <mergeCell ref="V13:W13"/>
    <mergeCell ref="X13:Y13"/>
    <mergeCell ref="C11:F11"/>
    <mergeCell ref="G11:J11"/>
    <mergeCell ref="K11:W11"/>
    <mergeCell ref="C12:F12"/>
    <mergeCell ref="G12:J12"/>
    <mergeCell ref="K12:N12"/>
    <mergeCell ref="O12:Q12"/>
    <mergeCell ref="R12:S12"/>
    <mergeCell ref="T12:U12"/>
    <mergeCell ref="V12:W12"/>
    <mergeCell ref="V8:W8"/>
    <mergeCell ref="X8:Y8"/>
    <mergeCell ref="C9:F9"/>
    <mergeCell ref="G9:J9"/>
    <mergeCell ref="K9:N9"/>
    <mergeCell ref="O9:Q9"/>
    <mergeCell ref="R9:S9"/>
    <mergeCell ref="T9:U9"/>
    <mergeCell ref="V9:W9"/>
    <mergeCell ref="X9:Y9"/>
    <mergeCell ref="C8:F8"/>
    <mergeCell ref="G8:J8"/>
    <mergeCell ref="K8:N8"/>
    <mergeCell ref="O8:Q8"/>
    <mergeCell ref="R8:S8"/>
    <mergeCell ref="T8:U8"/>
    <mergeCell ref="V6:W6"/>
    <mergeCell ref="X6:Y6"/>
    <mergeCell ref="C7:F7"/>
    <mergeCell ref="G7:J7"/>
    <mergeCell ref="K7:N7"/>
    <mergeCell ref="O7:Q7"/>
    <mergeCell ref="R7:S7"/>
    <mergeCell ref="T7:U7"/>
    <mergeCell ref="V7:W7"/>
    <mergeCell ref="X7:Y7"/>
    <mergeCell ref="C6:F6"/>
    <mergeCell ref="G6:J6"/>
    <mergeCell ref="K6:N6"/>
    <mergeCell ref="O6:Q6"/>
    <mergeCell ref="R6:S6"/>
    <mergeCell ref="T6:U6"/>
    <mergeCell ref="V4:W4"/>
    <mergeCell ref="X4:Y4"/>
    <mergeCell ref="C5:F5"/>
    <mergeCell ref="G5:J5"/>
    <mergeCell ref="K5:N5"/>
    <mergeCell ref="O5:Q5"/>
    <mergeCell ref="R5:S5"/>
    <mergeCell ref="T5:U5"/>
    <mergeCell ref="V5:W5"/>
    <mergeCell ref="X5:Y5"/>
    <mergeCell ref="A1:Y1"/>
    <mergeCell ref="C3:F3"/>
    <mergeCell ref="G3:J3"/>
    <mergeCell ref="K3:W3"/>
    <mergeCell ref="C4:F4"/>
    <mergeCell ref="G4:J4"/>
    <mergeCell ref="K4:N4"/>
    <mergeCell ref="O4:Q4"/>
    <mergeCell ref="R4:S4"/>
    <mergeCell ref="T4:U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5FF1-665E-4FF8-9B51-7ABDE7FBB998}">
  <sheetPr>
    <outlinePr summaryBelow="0" summaryRight="0"/>
  </sheetPr>
  <dimension ref="A1:Y882"/>
  <sheetViews>
    <sheetView topLeftCell="A12" zoomScale="55" zoomScaleNormal="55" workbookViewId="0">
      <selection activeCell="A178" sqref="A178"/>
    </sheetView>
  </sheetViews>
  <sheetFormatPr baseColWidth="10" defaultColWidth="12.6640625" defaultRowHeight="15" customHeight="1" x14ac:dyDescent="0.25"/>
  <cols>
    <col min="1" max="1" width="5.6640625" style="28" customWidth="1"/>
    <col min="2" max="2" width="33.77734375" style="28" customWidth="1"/>
    <col min="3" max="3" width="13.33203125" style="28" customWidth="1"/>
    <col min="4" max="5" width="3.88671875" style="28" customWidth="1"/>
    <col min="6" max="6" width="21.6640625" style="28" customWidth="1"/>
    <col min="7" max="9" width="3.88671875" style="28" customWidth="1"/>
    <col min="10" max="10" width="20.21875" style="28" customWidth="1"/>
    <col min="11" max="22" width="3.88671875" style="28" customWidth="1"/>
    <col min="23" max="23" width="4.6640625" style="28" customWidth="1"/>
    <col min="24" max="24" width="17" style="28" customWidth="1"/>
    <col min="25" max="25" width="30.33203125" style="28" customWidth="1"/>
    <col min="26" max="16384" width="12.6640625" style="28"/>
  </cols>
  <sheetData>
    <row r="1" spans="1:25" ht="39" customHeight="1" x14ac:dyDescent="0.25">
      <c r="A1" s="70" t="s">
        <v>44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</row>
    <row r="2" spans="1:25" ht="28.5" customHeight="1" thickBot="1" x14ac:dyDescent="0.3"/>
    <row r="3" spans="1:25" ht="62.25" customHeight="1" thickTop="1" x14ac:dyDescent="0.25">
      <c r="A3" s="20">
        <f>'Invetario de Tablas'!A4</f>
        <v>1</v>
      </c>
      <c r="B3" s="29" t="s">
        <v>28</v>
      </c>
      <c r="C3" s="54" t="str">
        <f>'Invetario de Tablas'!B4</f>
        <v>apicultor</v>
      </c>
      <c r="D3" s="71"/>
      <c r="E3" s="71"/>
      <c r="F3" s="72"/>
      <c r="G3" s="57" t="s">
        <v>29</v>
      </c>
      <c r="H3" s="71"/>
      <c r="I3" s="71"/>
      <c r="J3" s="72"/>
      <c r="K3" s="60" t="str">
        <f>'Invetario de Tablas'!C4</f>
        <v>Personas que producen productos apícolas.</v>
      </c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2"/>
      <c r="X3" s="21" t="s">
        <v>32</v>
      </c>
      <c r="Y3" s="22"/>
    </row>
    <row r="4" spans="1:25" ht="42.75" customHeight="1" x14ac:dyDescent="0.25">
      <c r="A4" s="23" t="s">
        <v>1</v>
      </c>
      <c r="B4" s="24" t="s">
        <v>33</v>
      </c>
      <c r="C4" s="52" t="s">
        <v>34</v>
      </c>
      <c r="D4" s="42"/>
      <c r="E4" s="42"/>
      <c r="F4" s="43"/>
      <c r="G4" s="52" t="s">
        <v>45</v>
      </c>
      <c r="H4" s="64"/>
      <c r="I4" s="64"/>
      <c r="J4" s="65"/>
      <c r="K4" s="52" t="s">
        <v>36</v>
      </c>
      <c r="L4" s="42"/>
      <c r="M4" s="42"/>
      <c r="N4" s="43"/>
      <c r="O4" s="52" t="s">
        <v>37</v>
      </c>
      <c r="P4" s="42"/>
      <c r="Q4" s="43"/>
      <c r="R4" s="52" t="s">
        <v>38</v>
      </c>
      <c r="S4" s="43"/>
      <c r="T4" s="52" t="s">
        <v>39</v>
      </c>
      <c r="U4" s="43"/>
      <c r="V4" s="52" t="s">
        <v>40</v>
      </c>
      <c r="W4" s="43"/>
      <c r="X4" s="52" t="s">
        <v>41</v>
      </c>
      <c r="Y4" s="73"/>
    </row>
    <row r="5" spans="1:25" ht="30" customHeight="1" x14ac:dyDescent="0.25">
      <c r="A5" s="25">
        <v>1</v>
      </c>
      <c r="B5" s="34" t="s">
        <v>145</v>
      </c>
      <c r="C5" s="67" t="s">
        <v>148</v>
      </c>
      <c r="D5" s="42"/>
      <c r="E5" s="42"/>
      <c r="F5" s="43"/>
      <c r="G5" s="67" t="s">
        <v>323</v>
      </c>
      <c r="H5" s="42"/>
      <c r="I5" s="42"/>
      <c r="J5" s="43"/>
      <c r="K5" s="49" t="s">
        <v>325</v>
      </c>
      <c r="L5" s="47"/>
      <c r="M5" s="47"/>
      <c r="N5" s="48"/>
      <c r="O5" s="49" t="s">
        <v>229</v>
      </c>
      <c r="P5" s="47"/>
      <c r="Q5" s="48"/>
      <c r="R5" s="49" t="s">
        <v>230</v>
      </c>
      <c r="S5" s="48"/>
      <c r="T5" s="49"/>
      <c r="U5" s="48"/>
      <c r="V5" s="49" t="s">
        <v>230</v>
      </c>
      <c r="W5" s="48"/>
      <c r="X5" s="50"/>
      <c r="Y5" s="73"/>
    </row>
    <row r="6" spans="1:25" ht="30" customHeight="1" x14ac:dyDescent="0.25">
      <c r="A6" s="25">
        <v>2</v>
      </c>
      <c r="B6" s="34" t="s">
        <v>146</v>
      </c>
      <c r="C6" s="67" t="s">
        <v>149</v>
      </c>
      <c r="D6" s="42"/>
      <c r="E6" s="42"/>
      <c r="F6" s="43"/>
      <c r="G6" s="67" t="s">
        <v>310</v>
      </c>
      <c r="H6" s="42"/>
      <c r="I6" s="42"/>
      <c r="J6" s="43"/>
      <c r="K6" s="49">
        <v>50</v>
      </c>
      <c r="L6" s="47"/>
      <c r="M6" s="47"/>
      <c r="N6" s="48"/>
      <c r="O6" s="49" t="s">
        <v>229</v>
      </c>
      <c r="P6" s="47"/>
      <c r="Q6" s="48"/>
      <c r="R6" s="49"/>
      <c r="S6" s="48"/>
      <c r="T6" s="49"/>
      <c r="U6" s="48"/>
      <c r="V6" s="49"/>
      <c r="W6" s="48"/>
      <c r="X6" s="50"/>
      <c r="Y6" s="73"/>
    </row>
    <row r="7" spans="1:25" ht="30" customHeight="1" x14ac:dyDescent="0.25">
      <c r="A7" s="25">
        <v>3</v>
      </c>
      <c r="B7" s="34" t="s">
        <v>147</v>
      </c>
      <c r="C7" s="67" t="s">
        <v>150</v>
      </c>
      <c r="D7" s="42"/>
      <c r="E7" s="42"/>
      <c r="F7" s="43"/>
      <c r="G7" s="67" t="s">
        <v>310</v>
      </c>
      <c r="H7" s="42"/>
      <c r="I7" s="42"/>
      <c r="J7" s="43"/>
      <c r="K7" s="49" t="s">
        <v>324</v>
      </c>
      <c r="L7" s="47"/>
      <c r="M7" s="47"/>
      <c r="N7" s="48"/>
      <c r="O7" s="49" t="s">
        <v>231</v>
      </c>
      <c r="P7" s="47"/>
      <c r="Q7" s="48"/>
      <c r="R7" s="49"/>
      <c r="S7" s="48"/>
      <c r="T7" s="49"/>
      <c r="U7" s="48"/>
      <c r="V7" s="49"/>
      <c r="W7" s="48"/>
      <c r="X7" s="50"/>
      <c r="Y7" s="73"/>
    </row>
    <row r="8" spans="1:25" ht="30" customHeight="1" x14ac:dyDescent="0.25">
      <c r="A8" s="25">
        <v>4</v>
      </c>
      <c r="B8" s="34" t="s">
        <v>151</v>
      </c>
      <c r="C8" s="67" t="s">
        <v>153</v>
      </c>
      <c r="D8" s="42"/>
      <c r="E8" s="42"/>
      <c r="F8" s="43"/>
      <c r="G8" s="67" t="s">
        <v>310</v>
      </c>
      <c r="H8" s="42"/>
      <c r="I8" s="42"/>
      <c r="J8" s="43"/>
      <c r="K8" s="46">
        <v>15</v>
      </c>
      <c r="L8" s="47"/>
      <c r="M8" s="47"/>
      <c r="N8" s="48"/>
      <c r="O8" s="46" t="s">
        <v>229</v>
      </c>
      <c r="P8" s="47"/>
      <c r="Q8" s="48"/>
      <c r="R8" s="46"/>
      <c r="S8" s="48"/>
      <c r="T8" s="46"/>
      <c r="U8" s="48"/>
      <c r="V8" s="49" t="s">
        <v>230</v>
      </c>
      <c r="W8" s="48"/>
      <c r="X8" s="50"/>
      <c r="Y8" s="73"/>
    </row>
    <row r="9" spans="1:25" ht="30" customHeight="1" x14ac:dyDescent="0.25">
      <c r="A9" s="25">
        <v>5</v>
      </c>
      <c r="B9" s="34" t="s">
        <v>152</v>
      </c>
      <c r="C9" s="67" t="s">
        <v>154</v>
      </c>
      <c r="D9" s="42"/>
      <c r="E9" s="42"/>
      <c r="F9" s="43"/>
      <c r="G9" s="67" t="s">
        <v>310</v>
      </c>
      <c r="H9" s="42"/>
      <c r="I9" s="42"/>
      <c r="J9" s="43"/>
      <c r="K9" s="46">
        <v>100</v>
      </c>
      <c r="L9" s="47"/>
      <c r="M9" s="47"/>
      <c r="N9" s="48"/>
      <c r="O9" s="46" t="s">
        <v>229</v>
      </c>
      <c r="P9" s="47"/>
      <c r="Q9" s="48"/>
      <c r="R9" s="46"/>
      <c r="S9" s="48"/>
      <c r="T9" s="46"/>
      <c r="U9" s="48"/>
      <c r="V9" s="49" t="s">
        <v>230</v>
      </c>
      <c r="W9" s="48"/>
      <c r="X9" s="50"/>
      <c r="Y9" s="73"/>
    </row>
    <row r="10" spans="1:25" ht="36" customHeight="1" thickBot="1" x14ac:dyDescent="0.3"/>
    <row r="11" spans="1:25" ht="54" customHeight="1" thickTop="1" x14ac:dyDescent="0.25">
      <c r="A11" s="20">
        <f>'Invetario de Tablas'!A5</f>
        <v>2</v>
      </c>
      <c r="B11" s="29" t="s">
        <v>28</v>
      </c>
      <c r="C11" s="54" t="str">
        <f>'Invetario de Tablas'!B5</f>
        <v>apiario</v>
      </c>
      <c r="D11" s="55"/>
      <c r="E11" s="55"/>
      <c r="F11" s="56"/>
      <c r="G11" s="57" t="s">
        <v>29</v>
      </c>
      <c r="H11" s="58"/>
      <c r="I11" s="58"/>
      <c r="J11" s="59"/>
      <c r="K11" s="60" t="str">
        <f>'Invetario de Tablas'!C5</f>
        <v>Lugar donde el apicultor mantiene su producción.</v>
      </c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2"/>
      <c r="X11" s="21" t="s">
        <v>32</v>
      </c>
      <c r="Y11" s="22"/>
    </row>
    <row r="12" spans="1:25" ht="60" customHeight="1" x14ac:dyDescent="0.25">
      <c r="A12" s="23" t="s">
        <v>1</v>
      </c>
      <c r="B12" s="24" t="s">
        <v>33</v>
      </c>
      <c r="C12" s="52" t="s">
        <v>34</v>
      </c>
      <c r="D12" s="64"/>
      <c r="E12" s="64"/>
      <c r="F12" s="65"/>
      <c r="G12" s="52" t="s">
        <v>45</v>
      </c>
      <c r="H12" s="64"/>
      <c r="I12" s="64"/>
      <c r="J12" s="65"/>
      <c r="K12" s="52" t="s">
        <v>36</v>
      </c>
      <c r="L12" s="64"/>
      <c r="M12" s="64"/>
      <c r="N12" s="65"/>
      <c r="O12" s="52" t="s">
        <v>37</v>
      </c>
      <c r="P12" s="64"/>
      <c r="Q12" s="65"/>
      <c r="R12" s="52" t="s">
        <v>38</v>
      </c>
      <c r="S12" s="65"/>
      <c r="T12" s="52" t="s">
        <v>39</v>
      </c>
      <c r="U12" s="65"/>
      <c r="V12" s="52" t="s">
        <v>40</v>
      </c>
      <c r="W12" s="65"/>
      <c r="X12" s="52" t="s">
        <v>41</v>
      </c>
      <c r="Y12" s="53"/>
    </row>
    <row r="13" spans="1:25" ht="30" customHeight="1" x14ac:dyDescent="0.25">
      <c r="A13" s="26">
        <v>1</v>
      </c>
      <c r="B13" s="34" t="s">
        <v>155</v>
      </c>
      <c r="C13" s="67" t="s">
        <v>156</v>
      </c>
      <c r="D13" s="68"/>
      <c r="E13" s="68"/>
      <c r="F13" s="69"/>
      <c r="G13" s="67" t="s">
        <v>323</v>
      </c>
      <c r="H13" s="42"/>
      <c r="I13" s="42"/>
      <c r="J13" s="43"/>
      <c r="K13" s="49" t="s">
        <v>325</v>
      </c>
      <c r="L13" s="47"/>
      <c r="M13" s="47"/>
      <c r="N13" s="48"/>
      <c r="O13" s="46" t="s">
        <v>229</v>
      </c>
      <c r="P13" s="47"/>
      <c r="Q13" s="48"/>
      <c r="R13" s="49" t="s">
        <v>230</v>
      </c>
      <c r="S13" s="48"/>
      <c r="T13" s="46"/>
      <c r="U13" s="48"/>
      <c r="V13" s="46"/>
      <c r="W13" s="48"/>
      <c r="X13" s="50"/>
      <c r="Y13" s="51"/>
    </row>
    <row r="14" spans="1:25" ht="30" customHeight="1" x14ac:dyDescent="0.25">
      <c r="A14" s="26">
        <v>2</v>
      </c>
      <c r="B14" s="34" t="s">
        <v>145</v>
      </c>
      <c r="C14" s="67" t="s">
        <v>157</v>
      </c>
      <c r="D14" s="68"/>
      <c r="E14" s="68"/>
      <c r="F14" s="69"/>
      <c r="G14" s="67" t="s">
        <v>55</v>
      </c>
      <c r="H14" s="68"/>
      <c r="I14" s="68"/>
      <c r="J14" s="69"/>
      <c r="K14" s="46"/>
      <c r="L14" s="47"/>
      <c r="M14" s="47"/>
      <c r="N14" s="48"/>
      <c r="O14" s="46" t="s">
        <v>229</v>
      </c>
      <c r="P14" s="47"/>
      <c r="Q14" s="48"/>
      <c r="R14" s="46"/>
      <c r="S14" s="48"/>
      <c r="T14" s="49" t="s">
        <v>230</v>
      </c>
      <c r="U14" s="48"/>
      <c r="V14" s="46"/>
      <c r="W14" s="48"/>
      <c r="X14" s="50"/>
      <c r="Y14" s="51"/>
    </row>
    <row r="15" spans="1:25" ht="30" customHeight="1" x14ac:dyDescent="0.25">
      <c r="A15" s="26">
        <v>3</v>
      </c>
      <c r="B15" s="34" t="s">
        <v>287</v>
      </c>
      <c r="C15" s="67" t="s">
        <v>158</v>
      </c>
      <c r="D15" s="68"/>
      <c r="E15" s="68"/>
      <c r="F15" s="69"/>
      <c r="G15" s="67" t="s">
        <v>310</v>
      </c>
      <c r="H15" s="42"/>
      <c r="I15" s="42"/>
      <c r="J15" s="43"/>
      <c r="K15" s="46">
        <v>50</v>
      </c>
      <c r="L15" s="47"/>
      <c r="M15" s="47"/>
      <c r="N15" s="48"/>
      <c r="O15" s="46" t="s">
        <v>229</v>
      </c>
      <c r="P15" s="47"/>
      <c r="Q15" s="48"/>
      <c r="R15" s="46"/>
      <c r="S15" s="48"/>
      <c r="T15" s="46"/>
      <c r="U15" s="48"/>
      <c r="V15" s="46"/>
      <c r="W15" s="48"/>
      <c r="X15" s="50"/>
      <c r="Y15" s="51"/>
    </row>
    <row r="16" spans="1:25" ht="48" customHeight="1" thickBot="1" x14ac:dyDescent="0.3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1:25" ht="54" customHeight="1" thickTop="1" x14ac:dyDescent="0.25">
      <c r="A17" s="20">
        <f>'Invetario de Tablas'!A6</f>
        <v>3</v>
      </c>
      <c r="B17" s="29" t="s">
        <v>28</v>
      </c>
      <c r="C17" s="54" t="str">
        <f>'Invetario de Tablas'!B6</f>
        <v>producto</v>
      </c>
      <c r="D17" s="55"/>
      <c r="E17" s="55"/>
      <c r="F17" s="56"/>
      <c r="G17" s="57" t="s">
        <v>29</v>
      </c>
      <c r="H17" s="58"/>
      <c r="I17" s="58"/>
      <c r="J17" s="59"/>
      <c r="K17" s="60" t="str">
        <f>'Invetario de Tablas'!C6</f>
        <v>Productos derivados de la apicultura.</v>
      </c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2"/>
      <c r="X17" s="21" t="s">
        <v>32</v>
      </c>
      <c r="Y17" s="22"/>
    </row>
    <row r="18" spans="1:25" ht="60" customHeight="1" x14ac:dyDescent="0.25">
      <c r="A18" s="23" t="s">
        <v>1</v>
      </c>
      <c r="B18" s="24" t="s">
        <v>33</v>
      </c>
      <c r="C18" s="52" t="s">
        <v>34</v>
      </c>
      <c r="D18" s="64"/>
      <c r="E18" s="64"/>
      <c r="F18" s="65"/>
      <c r="G18" s="52" t="s">
        <v>45</v>
      </c>
      <c r="H18" s="64"/>
      <c r="I18" s="64"/>
      <c r="J18" s="65"/>
      <c r="K18" s="52" t="s">
        <v>36</v>
      </c>
      <c r="L18" s="64"/>
      <c r="M18" s="64"/>
      <c r="N18" s="65"/>
      <c r="O18" s="52" t="s">
        <v>37</v>
      </c>
      <c r="P18" s="64"/>
      <c r="Q18" s="65"/>
      <c r="R18" s="52" t="s">
        <v>38</v>
      </c>
      <c r="S18" s="65"/>
      <c r="T18" s="52" t="s">
        <v>39</v>
      </c>
      <c r="U18" s="65"/>
      <c r="V18" s="52" t="s">
        <v>40</v>
      </c>
      <c r="W18" s="65"/>
      <c r="X18" s="52" t="s">
        <v>41</v>
      </c>
      <c r="Y18" s="53"/>
    </row>
    <row r="19" spans="1:25" ht="30" customHeight="1" x14ac:dyDescent="0.25">
      <c r="A19" s="26">
        <v>1</v>
      </c>
      <c r="B19" s="34" t="s">
        <v>159</v>
      </c>
      <c r="C19" s="67" t="s">
        <v>161</v>
      </c>
      <c r="D19" s="68"/>
      <c r="E19" s="68"/>
      <c r="F19" s="69"/>
      <c r="G19" s="67" t="s">
        <v>323</v>
      </c>
      <c r="H19" s="42"/>
      <c r="I19" s="42"/>
      <c r="J19" s="43"/>
      <c r="K19" s="49" t="s">
        <v>325</v>
      </c>
      <c r="L19" s="47"/>
      <c r="M19" s="47"/>
      <c r="N19" s="48"/>
      <c r="O19" s="46" t="s">
        <v>229</v>
      </c>
      <c r="P19" s="47"/>
      <c r="Q19" s="48"/>
      <c r="R19" s="49" t="s">
        <v>230</v>
      </c>
      <c r="S19" s="48"/>
      <c r="T19" s="46"/>
      <c r="U19" s="48"/>
      <c r="V19" s="46"/>
      <c r="W19" s="48"/>
      <c r="X19" s="50"/>
      <c r="Y19" s="51"/>
    </row>
    <row r="20" spans="1:25" ht="30" customHeight="1" x14ac:dyDescent="0.25">
      <c r="A20" s="26">
        <v>2</v>
      </c>
      <c r="B20" s="34" t="s">
        <v>160</v>
      </c>
      <c r="C20" s="67" t="s">
        <v>162</v>
      </c>
      <c r="D20" s="68"/>
      <c r="E20" s="68"/>
      <c r="F20" s="69"/>
      <c r="G20" s="67" t="s">
        <v>310</v>
      </c>
      <c r="H20" s="68"/>
      <c r="I20" s="68"/>
      <c r="J20" s="69"/>
      <c r="K20" s="46">
        <v>50</v>
      </c>
      <c r="L20" s="47"/>
      <c r="M20" s="47"/>
      <c r="N20" s="48"/>
      <c r="O20" s="46" t="s">
        <v>229</v>
      </c>
      <c r="P20" s="47"/>
      <c r="Q20" s="48"/>
      <c r="R20" s="46"/>
      <c r="S20" s="48"/>
      <c r="T20" s="46"/>
      <c r="U20" s="48"/>
      <c r="V20" s="46"/>
      <c r="W20" s="48"/>
      <c r="X20" s="50"/>
      <c r="Y20" s="51"/>
    </row>
    <row r="21" spans="1:25" ht="30" customHeight="1" x14ac:dyDescent="0.25">
      <c r="A21" s="26">
        <v>3</v>
      </c>
      <c r="B21" s="34" t="s">
        <v>147</v>
      </c>
      <c r="C21" s="67" t="s">
        <v>317</v>
      </c>
      <c r="D21" s="68"/>
      <c r="E21" s="68"/>
      <c r="F21" s="69"/>
      <c r="G21" s="67" t="s">
        <v>310</v>
      </c>
      <c r="H21" s="68"/>
      <c r="I21" s="68"/>
      <c r="J21" s="69"/>
      <c r="K21" s="46" t="s">
        <v>324</v>
      </c>
      <c r="L21" s="47"/>
      <c r="M21" s="47"/>
      <c r="N21" s="48"/>
      <c r="O21" s="46" t="s">
        <v>231</v>
      </c>
      <c r="P21" s="47"/>
      <c r="Q21" s="48"/>
      <c r="R21" s="46"/>
      <c r="S21" s="48"/>
      <c r="T21" s="46"/>
      <c r="U21" s="48"/>
      <c r="V21" s="46"/>
      <c r="W21" s="48"/>
      <c r="X21" s="50"/>
      <c r="Y21" s="51"/>
    </row>
    <row r="22" spans="1:25" ht="15.75" customHeight="1" thickBot="1" x14ac:dyDescent="0.3"/>
    <row r="23" spans="1:25" ht="54" customHeight="1" thickTop="1" x14ac:dyDescent="0.25">
      <c r="A23" s="20">
        <f>'Invetario de Tablas'!A7</f>
        <v>4</v>
      </c>
      <c r="B23" s="29" t="s">
        <v>28</v>
      </c>
      <c r="C23" s="54" t="str">
        <f>'Invetario de Tablas'!B7</f>
        <v>cosecha</v>
      </c>
      <c r="D23" s="55"/>
      <c r="E23" s="55"/>
      <c r="F23" s="56"/>
      <c r="G23" s="57" t="s">
        <v>29</v>
      </c>
      <c r="H23" s="58"/>
      <c r="I23" s="58"/>
      <c r="J23" s="59"/>
      <c r="K23" s="60" t="str">
        <f>'Invetario de Tablas'!C7</f>
        <v>Temporada o fecha donde se obtiene la producción.</v>
      </c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2"/>
      <c r="X23" s="21" t="s">
        <v>32</v>
      </c>
      <c r="Y23" s="22"/>
    </row>
    <row r="24" spans="1:25" ht="60" customHeight="1" x14ac:dyDescent="0.25">
      <c r="A24" s="23" t="s">
        <v>1</v>
      </c>
      <c r="B24" s="24" t="s">
        <v>33</v>
      </c>
      <c r="C24" s="52" t="s">
        <v>34</v>
      </c>
      <c r="D24" s="64"/>
      <c r="E24" s="64"/>
      <c r="F24" s="65"/>
      <c r="G24" s="52" t="s">
        <v>45</v>
      </c>
      <c r="H24" s="64"/>
      <c r="I24" s="64"/>
      <c r="J24" s="65"/>
      <c r="K24" s="52" t="s">
        <v>36</v>
      </c>
      <c r="L24" s="64"/>
      <c r="M24" s="64"/>
      <c r="N24" s="65"/>
      <c r="O24" s="52" t="s">
        <v>37</v>
      </c>
      <c r="P24" s="64"/>
      <c r="Q24" s="65"/>
      <c r="R24" s="52" t="s">
        <v>38</v>
      </c>
      <c r="S24" s="65"/>
      <c r="T24" s="52" t="s">
        <v>39</v>
      </c>
      <c r="U24" s="65"/>
      <c r="V24" s="52" t="s">
        <v>40</v>
      </c>
      <c r="W24" s="65"/>
      <c r="X24" s="52" t="s">
        <v>41</v>
      </c>
      <c r="Y24" s="53"/>
    </row>
    <row r="25" spans="1:25" ht="30" customHeight="1" x14ac:dyDescent="0.25">
      <c r="A25" s="26">
        <v>1</v>
      </c>
      <c r="B25" s="34" t="s">
        <v>163</v>
      </c>
      <c r="C25" s="67" t="s">
        <v>167</v>
      </c>
      <c r="D25" s="68"/>
      <c r="E25" s="68"/>
      <c r="F25" s="69"/>
      <c r="G25" s="67" t="s">
        <v>323</v>
      </c>
      <c r="H25" s="42"/>
      <c r="I25" s="42"/>
      <c r="J25" s="43"/>
      <c r="K25" s="49" t="s">
        <v>325</v>
      </c>
      <c r="L25" s="47"/>
      <c r="M25" s="47"/>
      <c r="N25" s="48"/>
      <c r="O25" s="46" t="s">
        <v>229</v>
      </c>
      <c r="P25" s="47"/>
      <c r="Q25" s="48"/>
      <c r="R25" s="49" t="s">
        <v>230</v>
      </c>
      <c r="S25" s="48"/>
      <c r="T25" s="46"/>
      <c r="U25" s="48"/>
      <c r="V25" s="46"/>
      <c r="W25" s="48"/>
      <c r="X25" s="50"/>
      <c r="Y25" s="51"/>
    </row>
    <row r="26" spans="1:25" ht="30" customHeight="1" x14ac:dyDescent="0.25">
      <c r="A26" s="26">
        <v>2</v>
      </c>
      <c r="B26" s="34" t="s">
        <v>155</v>
      </c>
      <c r="C26" s="67" t="s">
        <v>166</v>
      </c>
      <c r="D26" s="68"/>
      <c r="E26" s="68"/>
      <c r="F26" s="69"/>
      <c r="G26" s="67" t="s">
        <v>55</v>
      </c>
      <c r="H26" s="68"/>
      <c r="I26" s="68"/>
      <c r="J26" s="69"/>
      <c r="K26" s="46"/>
      <c r="L26" s="47"/>
      <c r="M26" s="47"/>
      <c r="N26" s="48"/>
      <c r="O26" s="46" t="s">
        <v>229</v>
      </c>
      <c r="P26" s="47"/>
      <c r="Q26" s="48"/>
      <c r="R26" s="46"/>
      <c r="S26" s="48"/>
      <c r="T26" s="49" t="s">
        <v>230</v>
      </c>
      <c r="U26" s="48"/>
      <c r="V26" s="46"/>
      <c r="W26" s="48"/>
      <c r="X26" s="50"/>
      <c r="Y26" s="51"/>
    </row>
    <row r="27" spans="1:25" ht="30" customHeight="1" x14ac:dyDescent="0.25">
      <c r="A27" s="26">
        <v>3</v>
      </c>
      <c r="B27" s="34" t="s">
        <v>164</v>
      </c>
      <c r="C27" s="67" t="s">
        <v>165</v>
      </c>
      <c r="D27" s="68"/>
      <c r="E27" s="68"/>
      <c r="F27" s="69"/>
      <c r="G27" s="67" t="s">
        <v>66</v>
      </c>
      <c r="H27" s="68"/>
      <c r="I27" s="68"/>
      <c r="J27" s="69"/>
      <c r="K27" s="46"/>
      <c r="L27" s="47"/>
      <c r="M27" s="47"/>
      <c r="N27" s="48"/>
      <c r="O27" s="46" t="s">
        <v>229</v>
      </c>
      <c r="P27" s="47"/>
      <c r="Q27" s="48"/>
      <c r="R27" s="46"/>
      <c r="S27" s="48"/>
      <c r="T27" s="46"/>
      <c r="U27" s="48"/>
      <c r="V27" s="46"/>
      <c r="W27" s="48"/>
      <c r="X27" s="50"/>
      <c r="Y27" s="51"/>
    </row>
    <row r="28" spans="1:25" ht="48" customHeight="1" thickBot="1" x14ac:dyDescent="0.3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54" customHeight="1" thickTop="1" x14ac:dyDescent="0.25">
      <c r="A29" s="20">
        <f>'Invetario de Tablas'!A8</f>
        <v>5</v>
      </c>
      <c r="B29" s="29" t="s">
        <v>28</v>
      </c>
      <c r="C29" s="54" t="str">
        <f>'Invetario de Tablas'!B8</f>
        <v>pedido</v>
      </c>
      <c r="D29" s="55"/>
      <c r="E29" s="55"/>
      <c r="F29" s="56"/>
      <c r="G29" s="57" t="s">
        <v>29</v>
      </c>
      <c r="H29" s="58"/>
      <c r="I29" s="58"/>
      <c r="J29" s="59"/>
      <c r="K29" s="60" t="str">
        <f>'Invetario de Tablas'!C8</f>
        <v>Solicitud realizada por un consumidor.</v>
      </c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2"/>
      <c r="X29" s="21" t="s">
        <v>32</v>
      </c>
      <c r="Y29" s="22"/>
    </row>
    <row r="30" spans="1:25" ht="60" customHeight="1" x14ac:dyDescent="0.25">
      <c r="A30" s="23" t="s">
        <v>1</v>
      </c>
      <c r="B30" s="24" t="s">
        <v>33</v>
      </c>
      <c r="C30" s="52" t="s">
        <v>34</v>
      </c>
      <c r="D30" s="64"/>
      <c r="E30" s="64"/>
      <c r="F30" s="65"/>
      <c r="G30" s="52" t="s">
        <v>45</v>
      </c>
      <c r="H30" s="64"/>
      <c r="I30" s="64"/>
      <c r="J30" s="65"/>
      <c r="K30" s="52" t="s">
        <v>36</v>
      </c>
      <c r="L30" s="64"/>
      <c r="M30" s="64"/>
      <c r="N30" s="65"/>
      <c r="O30" s="52" t="s">
        <v>37</v>
      </c>
      <c r="P30" s="64"/>
      <c r="Q30" s="65"/>
      <c r="R30" s="52" t="s">
        <v>38</v>
      </c>
      <c r="S30" s="65"/>
      <c r="T30" s="52" t="s">
        <v>39</v>
      </c>
      <c r="U30" s="65"/>
      <c r="V30" s="52" t="s">
        <v>40</v>
      </c>
      <c r="W30" s="65"/>
      <c r="X30" s="52" t="s">
        <v>41</v>
      </c>
      <c r="Y30" s="53"/>
    </row>
    <row r="31" spans="1:25" ht="30" customHeight="1" x14ac:dyDescent="0.25">
      <c r="A31" s="35">
        <v>1</v>
      </c>
      <c r="B31" s="36" t="s">
        <v>168</v>
      </c>
      <c r="C31" s="46" t="s">
        <v>169</v>
      </c>
      <c r="D31" s="47"/>
      <c r="E31" s="47"/>
      <c r="F31" s="48"/>
      <c r="G31" s="67" t="s">
        <v>323</v>
      </c>
      <c r="H31" s="42"/>
      <c r="I31" s="42"/>
      <c r="J31" s="43"/>
      <c r="K31" s="49" t="s">
        <v>325</v>
      </c>
      <c r="L31" s="47"/>
      <c r="M31" s="47"/>
      <c r="N31" s="48"/>
      <c r="O31" s="46" t="s">
        <v>229</v>
      </c>
      <c r="P31" s="47"/>
      <c r="Q31" s="48"/>
      <c r="R31" s="49" t="s">
        <v>230</v>
      </c>
      <c r="S31" s="48"/>
      <c r="T31" s="46"/>
      <c r="U31" s="48"/>
      <c r="V31" s="49" t="s">
        <v>230</v>
      </c>
      <c r="W31" s="48"/>
      <c r="X31" s="50"/>
      <c r="Y31" s="51"/>
    </row>
    <row r="32" spans="1:25" ht="30" customHeight="1" x14ac:dyDescent="0.25">
      <c r="A32" s="35">
        <v>2</v>
      </c>
      <c r="B32" s="36" t="s">
        <v>170</v>
      </c>
      <c r="C32" s="46" t="s">
        <v>171</v>
      </c>
      <c r="D32" s="47"/>
      <c r="E32" s="47"/>
      <c r="F32" s="48"/>
      <c r="G32" s="67" t="s">
        <v>55</v>
      </c>
      <c r="H32" s="68"/>
      <c r="I32" s="68"/>
      <c r="J32" s="69"/>
      <c r="K32" s="46"/>
      <c r="L32" s="47"/>
      <c r="M32" s="47"/>
      <c r="N32" s="48"/>
      <c r="O32" s="46" t="s">
        <v>229</v>
      </c>
      <c r="P32" s="47"/>
      <c r="Q32" s="48"/>
      <c r="R32" s="46"/>
      <c r="S32" s="48"/>
      <c r="T32" s="49" t="s">
        <v>230</v>
      </c>
      <c r="U32" s="48"/>
      <c r="V32" s="46"/>
      <c r="W32" s="48"/>
      <c r="X32" s="50"/>
      <c r="Y32" s="51"/>
    </row>
    <row r="33" spans="1:25" ht="30" customHeight="1" x14ac:dyDescent="0.25">
      <c r="A33" s="35">
        <v>3</v>
      </c>
      <c r="B33" s="36" t="s">
        <v>164</v>
      </c>
      <c r="C33" s="46" t="s">
        <v>172</v>
      </c>
      <c r="D33" s="47"/>
      <c r="E33" s="47"/>
      <c r="F33" s="48"/>
      <c r="G33" s="67" t="s">
        <v>66</v>
      </c>
      <c r="H33" s="68"/>
      <c r="I33" s="68"/>
      <c r="J33" s="69"/>
      <c r="K33" s="46"/>
      <c r="L33" s="47"/>
      <c r="M33" s="47"/>
      <c r="N33" s="48"/>
      <c r="O33" s="46" t="s">
        <v>229</v>
      </c>
      <c r="P33" s="47"/>
      <c r="Q33" s="48"/>
      <c r="R33" s="46"/>
      <c r="S33" s="48"/>
      <c r="T33" s="46"/>
      <c r="U33" s="48"/>
      <c r="V33" s="46"/>
      <c r="W33" s="48"/>
      <c r="X33" s="50"/>
      <c r="Y33" s="51"/>
    </row>
    <row r="34" spans="1:25" ht="48" customHeight="1" thickBot="1" x14ac:dyDescent="0.3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54" customHeight="1" thickTop="1" x14ac:dyDescent="0.25">
      <c r="A35" s="20">
        <f>'Invetario de Tablas'!A9</f>
        <v>6</v>
      </c>
      <c r="B35" s="29" t="s">
        <v>28</v>
      </c>
      <c r="C35" s="54" t="str">
        <f>'Invetario de Tablas'!B9</f>
        <v>detalle_pedido</v>
      </c>
      <c r="D35" s="55"/>
      <c r="E35" s="55"/>
      <c r="F35" s="56"/>
      <c r="G35" s="57" t="s">
        <v>29</v>
      </c>
      <c r="H35" s="58"/>
      <c r="I35" s="58"/>
      <c r="J35" s="59"/>
      <c r="K35" s="60" t="str">
        <f>'Invetario de Tablas'!C9</f>
        <v>Información específica de cada producto solicitado.</v>
      </c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2"/>
      <c r="X35" s="21" t="s">
        <v>32</v>
      </c>
      <c r="Y35" s="22"/>
    </row>
    <row r="36" spans="1:25" ht="60" customHeight="1" x14ac:dyDescent="0.25">
      <c r="A36" s="23" t="s">
        <v>1</v>
      </c>
      <c r="B36" s="24" t="s">
        <v>33</v>
      </c>
      <c r="C36" s="52" t="s">
        <v>34</v>
      </c>
      <c r="D36" s="64"/>
      <c r="E36" s="64"/>
      <c r="F36" s="65"/>
      <c r="G36" s="52" t="s">
        <v>45</v>
      </c>
      <c r="H36" s="64"/>
      <c r="I36" s="64"/>
      <c r="J36" s="65"/>
      <c r="K36" s="52" t="s">
        <v>36</v>
      </c>
      <c r="L36" s="64"/>
      <c r="M36" s="64"/>
      <c r="N36" s="65"/>
      <c r="O36" s="52" t="s">
        <v>37</v>
      </c>
      <c r="P36" s="64"/>
      <c r="Q36" s="65"/>
      <c r="R36" s="52" t="s">
        <v>38</v>
      </c>
      <c r="S36" s="65"/>
      <c r="T36" s="52" t="s">
        <v>39</v>
      </c>
      <c r="U36" s="65"/>
      <c r="V36" s="52" t="s">
        <v>40</v>
      </c>
      <c r="W36" s="65"/>
      <c r="X36" s="52" t="s">
        <v>41</v>
      </c>
      <c r="Y36" s="53"/>
    </row>
    <row r="37" spans="1:25" ht="30" customHeight="1" x14ac:dyDescent="0.25">
      <c r="A37" s="35">
        <v>1</v>
      </c>
      <c r="B37" s="36" t="s">
        <v>168</v>
      </c>
      <c r="C37" s="46" t="s">
        <v>173</v>
      </c>
      <c r="D37" s="47"/>
      <c r="E37" s="47"/>
      <c r="F37" s="48"/>
      <c r="G37" s="67" t="s">
        <v>55</v>
      </c>
      <c r="H37" s="68"/>
      <c r="I37" s="68"/>
      <c r="J37" s="69"/>
      <c r="K37" s="46"/>
      <c r="L37" s="47"/>
      <c r="M37" s="47"/>
      <c r="N37" s="48"/>
      <c r="O37" s="46" t="s">
        <v>229</v>
      </c>
      <c r="P37" s="47"/>
      <c r="Q37" s="48"/>
      <c r="R37" s="49" t="s">
        <v>230</v>
      </c>
      <c r="S37" s="48"/>
      <c r="T37" s="49" t="s">
        <v>230</v>
      </c>
      <c r="U37" s="48"/>
      <c r="V37" s="46"/>
      <c r="W37" s="48"/>
      <c r="X37" s="50"/>
      <c r="Y37" s="51"/>
    </row>
    <row r="38" spans="1:25" ht="30" customHeight="1" x14ac:dyDescent="0.25">
      <c r="A38" s="35">
        <v>2</v>
      </c>
      <c r="B38" s="36" t="s">
        <v>174</v>
      </c>
      <c r="C38" s="46" t="s">
        <v>175</v>
      </c>
      <c r="D38" s="47"/>
      <c r="E38" s="47"/>
      <c r="F38" s="48"/>
      <c r="G38" s="67" t="s">
        <v>55</v>
      </c>
      <c r="H38" s="68"/>
      <c r="I38" s="68"/>
      <c r="J38" s="69"/>
      <c r="K38" s="46"/>
      <c r="L38" s="47"/>
      <c r="M38" s="47"/>
      <c r="N38" s="48"/>
      <c r="O38" s="46" t="s">
        <v>229</v>
      </c>
      <c r="P38" s="47"/>
      <c r="Q38" s="48"/>
      <c r="R38" s="49" t="s">
        <v>230</v>
      </c>
      <c r="S38" s="48"/>
      <c r="T38" s="49" t="s">
        <v>230</v>
      </c>
      <c r="U38" s="48"/>
      <c r="V38" s="46"/>
      <c r="W38" s="48"/>
      <c r="X38" s="50"/>
      <c r="Y38" s="51"/>
    </row>
    <row r="39" spans="1:25" ht="30" customHeight="1" x14ac:dyDescent="0.25">
      <c r="A39" s="35">
        <v>3</v>
      </c>
      <c r="B39" s="36" t="s">
        <v>176</v>
      </c>
      <c r="C39" s="46" t="s">
        <v>177</v>
      </c>
      <c r="D39" s="47"/>
      <c r="E39" s="47"/>
      <c r="F39" s="48"/>
      <c r="G39" s="67" t="s">
        <v>55</v>
      </c>
      <c r="H39" s="68"/>
      <c r="I39" s="68"/>
      <c r="J39" s="69"/>
      <c r="K39" s="46"/>
      <c r="L39" s="47"/>
      <c r="M39" s="47"/>
      <c r="N39" s="48"/>
      <c r="O39" s="46" t="s">
        <v>229</v>
      </c>
      <c r="P39" s="47"/>
      <c r="Q39" s="48"/>
      <c r="R39" s="46"/>
      <c r="S39" s="48"/>
      <c r="T39" s="46"/>
      <c r="U39" s="48"/>
      <c r="V39" s="46"/>
      <c r="W39" s="48"/>
      <c r="X39" s="50"/>
      <c r="Y39" s="51"/>
    </row>
    <row r="40" spans="1:25" ht="48" customHeight="1" thickBot="1" x14ac:dyDescent="0.3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spans="1:25" ht="54" customHeight="1" thickTop="1" x14ac:dyDescent="0.25">
      <c r="A41" s="20">
        <f>'Invetario de Tablas'!A10</f>
        <v>7</v>
      </c>
      <c r="B41" s="29" t="s">
        <v>28</v>
      </c>
      <c r="C41" s="54" t="str">
        <f>'Invetario de Tablas'!B10</f>
        <v>sensor</v>
      </c>
      <c r="D41" s="55"/>
      <c r="E41" s="55"/>
      <c r="F41" s="56"/>
      <c r="G41" s="57" t="s">
        <v>29</v>
      </c>
      <c r="H41" s="58"/>
      <c r="I41" s="58"/>
      <c r="J41" s="59"/>
      <c r="K41" s="60" t="str">
        <f>'Invetario de Tablas'!C10</f>
        <v>Sensores que registran variables ambientales.</v>
      </c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2"/>
      <c r="X41" s="21" t="s">
        <v>32</v>
      </c>
      <c r="Y41" s="22"/>
    </row>
    <row r="42" spans="1:25" ht="60" customHeight="1" x14ac:dyDescent="0.25">
      <c r="A42" s="23" t="s">
        <v>1</v>
      </c>
      <c r="B42" s="24" t="s">
        <v>33</v>
      </c>
      <c r="C42" s="52" t="s">
        <v>34</v>
      </c>
      <c r="D42" s="64"/>
      <c r="E42" s="64"/>
      <c r="F42" s="65"/>
      <c r="G42" s="52" t="s">
        <v>45</v>
      </c>
      <c r="H42" s="64"/>
      <c r="I42" s="64"/>
      <c r="J42" s="65"/>
      <c r="K42" s="52" t="s">
        <v>36</v>
      </c>
      <c r="L42" s="64"/>
      <c r="M42" s="64"/>
      <c r="N42" s="65"/>
      <c r="O42" s="52" t="s">
        <v>37</v>
      </c>
      <c r="P42" s="64"/>
      <c r="Q42" s="65"/>
      <c r="R42" s="52" t="s">
        <v>38</v>
      </c>
      <c r="S42" s="65"/>
      <c r="T42" s="52" t="s">
        <v>39</v>
      </c>
      <c r="U42" s="65"/>
      <c r="V42" s="52" t="s">
        <v>40</v>
      </c>
      <c r="W42" s="65"/>
      <c r="X42" s="52" t="s">
        <v>41</v>
      </c>
      <c r="Y42" s="53"/>
    </row>
    <row r="43" spans="1:25" ht="30" customHeight="1" x14ac:dyDescent="0.25">
      <c r="A43" s="35">
        <v>1</v>
      </c>
      <c r="B43" s="36" t="s">
        <v>178</v>
      </c>
      <c r="C43" s="46" t="s">
        <v>179</v>
      </c>
      <c r="D43" s="47"/>
      <c r="E43" s="47"/>
      <c r="F43" s="48"/>
      <c r="G43" s="67" t="s">
        <v>323</v>
      </c>
      <c r="H43" s="42"/>
      <c r="I43" s="42"/>
      <c r="J43" s="43"/>
      <c r="K43" s="49" t="s">
        <v>325</v>
      </c>
      <c r="L43" s="47"/>
      <c r="M43" s="47"/>
      <c r="N43" s="48"/>
      <c r="O43" s="46" t="s">
        <v>229</v>
      </c>
      <c r="P43" s="47"/>
      <c r="Q43" s="48"/>
      <c r="R43" s="49" t="s">
        <v>230</v>
      </c>
      <c r="S43" s="48"/>
      <c r="T43" s="46"/>
      <c r="U43" s="48"/>
      <c r="V43" s="49" t="s">
        <v>230</v>
      </c>
      <c r="W43" s="48"/>
      <c r="X43" s="50"/>
      <c r="Y43" s="51"/>
    </row>
    <row r="44" spans="1:25" ht="30" customHeight="1" x14ac:dyDescent="0.25">
      <c r="A44" s="35">
        <v>2</v>
      </c>
      <c r="B44" s="36" t="s">
        <v>180</v>
      </c>
      <c r="C44" s="46" t="s">
        <v>181</v>
      </c>
      <c r="D44" s="47"/>
      <c r="E44" s="47"/>
      <c r="F44" s="48"/>
      <c r="G44" s="67" t="s">
        <v>310</v>
      </c>
      <c r="H44" s="68"/>
      <c r="I44" s="68"/>
      <c r="J44" s="69"/>
      <c r="K44" s="46">
        <v>50</v>
      </c>
      <c r="L44" s="47"/>
      <c r="M44" s="47"/>
      <c r="N44" s="48"/>
      <c r="O44" s="46" t="s">
        <v>229</v>
      </c>
      <c r="P44" s="47"/>
      <c r="Q44" s="48"/>
      <c r="R44" s="46"/>
      <c r="S44" s="48"/>
      <c r="T44" s="46"/>
      <c r="U44" s="48"/>
      <c r="V44" s="46"/>
      <c r="W44" s="48"/>
      <c r="X44" s="50"/>
      <c r="Y44" s="51"/>
    </row>
    <row r="45" spans="1:25" ht="48" customHeight="1" thickBot="1" x14ac:dyDescent="0.3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54" customHeight="1" thickTop="1" x14ac:dyDescent="0.25">
      <c r="A46" s="20">
        <f>'Invetario de Tablas'!A11</f>
        <v>8</v>
      </c>
      <c r="B46" s="29" t="s">
        <v>28</v>
      </c>
      <c r="C46" s="54" t="str">
        <f>'Invetario de Tablas'!B11</f>
        <v>medicion_ambiental</v>
      </c>
      <c r="D46" s="55"/>
      <c r="E46" s="55"/>
      <c r="F46" s="56"/>
      <c r="G46" s="57" t="s">
        <v>29</v>
      </c>
      <c r="H46" s="58"/>
      <c r="I46" s="58"/>
      <c r="J46" s="59"/>
      <c r="K46" s="60" t="str">
        <f>'Invetario de Tablas'!C11</f>
        <v>Registro de datos ambientales.</v>
      </c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2"/>
      <c r="X46" s="21" t="s">
        <v>32</v>
      </c>
      <c r="Y46" s="22"/>
    </row>
    <row r="47" spans="1:25" ht="60" customHeight="1" x14ac:dyDescent="0.25">
      <c r="A47" s="23" t="s">
        <v>1</v>
      </c>
      <c r="B47" s="24" t="s">
        <v>33</v>
      </c>
      <c r="C47" s="52" t="s">
        <v>34</v>
      </c>
      <c r="D47" s="64"/>
      <c r="E47" s="64"/>
      <c r="F47" s="65"/>
      <c r="G47" s="52" t="s">
        <v>45</v>
      </c>
      <c r="H47" s="64"/>
      <c r="I47" s="64"/>
      <c r="J47" s="65"/>
      <c r="K47" s="52" t="s">
        <v>36</v>
      </c>
      <c r="L47" s="64"/>
      <c r="M47" s="64"/>
      <c r="N47" s="65"/>
      <c r="O47" s="52" t="s">
        <v>37</v>
      </c>
      <c r="P47" s="64"/>
      <c r="Q47" s="65"/>
      <c r="R47" s="52" t="s">
        <v>38</v>
      </c>
      <c r="S47" s="65"/>
      <c r="T47" s="52" t="s">
        <v>39</v>
      </c>
      <c r="U47" s="65"/>
      <c r="V47" s="52" t="s">
        <v>40</v>
      </c>
      <c r="W47" s="65"/>
      <c r="X47" s="52" t="s">
        <v>41</v>
      </c>
      <c r="Y47" s="53"/>
    </row>
    <row r="48" spans="1:25" ht="30" customHeight="1" x14ac:dyDescent="0.25">
      <c r="A48" s="35">
        <v>1</v>
      </c>
      <c r="B48" s="36" t="s">
        <v>182</v>
      </c>
      <c r="C48" s="46" t="s">
        <v>183</v>
      </c>
      <c r="D48" s="47"/>
      <c r="E48" s="47"/>
      <c r="F48" s="48"/>
      <c r="G48" s="67" t="s">
        <v>323</v>
      </c>
      <c r="H48" s="42"/>
      <c r="I48" s="42"/>
      <c r="J48" s="43"/>
      <c r="K48" s="49" t="s">
        <v>325</v>
      </c>
      <c r="L48" s="47"/>
      <c r="M48" s="47"/>
      <c r="N48" s="48"/>
      <c r="O48" s="46" t="s">
        <v>229</v>
      </c>
      <c r="P48" s="47"/>
      <c r="Q48" s="48"/>
      <c r="R48" s="49" t="s">
        <v>230</v>
      </c>
      <c r="S48" s="48"/>
      <c r="T48" s="46"/>
      <c r="U48" s="48"/>
      <c r="V48" s="49" t="s">
        <v>230</v>
      </c>
      <c r="W48" s="48"/>
      <c r="X48" s="50"/>
      <c r="Y48" s="51"/>
    </row>
    <row r="49" spans="1:25" ht="30" customHeight="1" x14ac:dyDescent="0.25">
      <c r="A49" s="35">
        <v>2</v>
      </c>
      <c r="B49" s="36" t="s">
        <v>178</v>
      </c>
      <c r="C49" s="46" t="s">
        <v>184</v>
      </c>
      <c r="D49" s="47"/>
      <c r="E49" s="47"/>
      <c r="F49" s="48"/>
      <c r="G49" s="67" t="s">
        <v>55</v>
      </c>
      <c r="H49" s="68"/>
      <c r="I49" s="68"/>
      <c r="J49" s="69"/>
      <c r="K49" s="46"/>
      <c r="L49" s="47"/>
      <c r="M49" s="47"/>
      <c r="N49" s="48"/>
      <c r="O49" s="46" t="s">
        <v>229</v>
      </c>
      <c r="P49" s="47"/>
      <c r="Q49" s="48"/>
      <c r="R49" s="46"/>
      <c r="S49" s="48"/>
      <c r="T49" s="49" t="s">
        <v>230</v>
      </c>
      <c r="U49" s="48"/>
      <c r="V49" s="46"/>
      <c r="W49" s="48"/>
      <c r="X49" s="50"/>
      <c r="Y49" s="51"/>
    </row>
    <row r="50" spans="1:25" ht="30" customHeight="1" x14ac:dyDescent="0.25">
      <c r="A50" s="35">
        <v>3</v>
      </c>
      <c r="B50" s="36" t="s">
        <v>185</v>
      </c>
      <c r="C50" s="46" t="s">
        <v>186</v>
      </c>
      <c r="D50" s="47"/>
      <c r="E50" s="47"/>
      <c r="F50" s="48"/>
      <c r="G50" s="67" t="s">
        <v>11</v>
      </c>
      <c r="H50" s="68"/>
      <c r="I50" s="68"/>
      <c r="J50" s="69"/>
      <c r="K50" s="46" t="s">
        <v>313</v>
      </c>
      <c r="L50" s="47"/>
      <c r="M50" s="47"/>
      <c r="N50" s="48"/>
      <c r="O50" s="46" t="s">
        <v>229</v>
      </c>
      <c r="P50" s="47"/>
      <c r="Q50" s="48"/>
      <c r="R50" s="46"/>
      <c r="S50" s="48"/>
      <c r="T50" s="46"/>
      <c r="U50" s="48"/>
      <c r="V50" s="46"/>
      <c r="W50" s="48"/>
      <c r="X50" s="50"/>
      <c r="Y50" s="51"/>
    </row>
    <row r="51" spans="1:25" ht="30" customHeight="1" x14ac:dyDescent="0.25">
      <c r="A51" s="35">
        <v>4</v>
      </c>
      <c r="B51" s="36" t="s">
        <v>187</v>
      </c>
      <c r="C51" s="46" t="s">
        <v>188</v>
      </c>
      <c r="D51" s="47"/>
      <c r="E51" s="47"/>
      <c r="F51" s="48"/>
      <c r="G51" s="67" t="s">
        <v>11</v>
      </c>
      <c r="H51" s="68"/>
      <c r="I51" s="68"/>
      <c r="J51" s="69"/>
      <c r="K51" s="46" t="s">
        <v>313</v>
      </c>
      <c r="L51" s="47"/>
      <c r="M51" s="47"/>
      <c r="N51" s="48"/>
      <c r="O51" s="46" t="s">
        <v>229</v>
      </c>
      <c r="P51" s="47"/>
      <c r="Q51" s="48"/>
      <c r="R51" s="46"/>
      <c r="S51" s="48"/>
      <c r="T51" s="46"/>
      <c r="U51" s="48"/>
      <c r="V51" s="46"/>
      <c r="W51" s="48"/>
      <c r="X51" s="50"/>
      <c r="Y51" s="51"/>
    </row>
    <row r="52" spans="1:25" ht="30" customHeight="1" x14ac:dyDescent="0.25">
      <c r="A52" s="35">
        <v>5</v>
      </c>
      <c r="B52" s="36" t="s">
        <v>189</v>
      </c>
      <c r="C52" s="46" t="s">
        <v>190</v>
      </c>
      <c r="D52" s="47"/>
      <c r="E52" s="47"/>
      <c r="F52" s="48"/>
      <c r="G52" s="67" t="s">
        <v>308</v>
      </c>
      <c r="H52" s="68"/>
      <c r="I52" s="68"/>
      <c r="J52" s="69"/>
      <c r="K52" s="46"/>
      <c r="L52" s="47"/>
      <c r="M52" s="47"/>
      <c r="N52" s="48"/>
      <c r="O52" s="46" t="s">
        <v>229</v>
      </c>
      <c r="P52" s="47"/>
      <c r="Q52" s="48"/>
      <c r="R52" s="46"/>
      <c r="S52" s="48"/>
      <c r="T52" s="46"/>
      <c r="U52" s="48"/>
      <c r="V52" s="46"/>
      <c r="W52" s="48"/>
      <c r="X52" s="50"/>
      <c r="Y52" s="51"/>
    </row>
    <row r="53" spans="1:25" ht="48" customHeight="1" thickBot="1" x14ac:dyDescent="0.3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54" customHeight="1" thickTop="1" x14ac:dyDescent="0.25">
      <c r="A54" s="20">
        <f>'Invetario de Tablas'!A12</f>
        <v>9</v>
      </c>
      <c r="B54" s="29" t="s">
        <v>28</v>
      </c>
      <c r="C54" s="54" t="str">
        <f>'Invetario de Tablas'!B12</f>
        <v>alerta</v>
      </c>
      <c r="D54" s="55"/>
      <c r="E54" s="55"/>
      <c r="F54" s="56"/>
      <c r="G54" s="57" t="s">
        <v>29</v>
      </c>
      <c r="H54" s="58"/>
      <c r="I54" s="58"/>
      <c r="J54" s="59"/>
      <c r="K54" s="60" t="str">
        <f>'Invetario de Tablas'!C12</f>
        <v>Notificación generada por el sistema.</v>
      </c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2"/>
      <c r="X54" s="21" t="s">
        <v>32</v>
      </c>
      <c r="Y54" s="22"/>
    </row>
    <row r="55" spans="1:25" ht="60" customHeight="1" x14ac:dyDescent="0.25">
      <c r="A55" s="23" t="s">
        <v>1</v>
      </c>
      <c r="B55" s="24" t="s">
        <v>33</v>
      </c>
      <c r="C55" s="52" t="s">
        <v>34</v>
      </c>
      <c r="D55" s="64"/>
      <c r="E55" s="64"/>
      <c r="F55" s="65"/>
      <c r="G55" s="52" t="s">
        <v>45</v>
      </c>
      <c r="H55" s="64"/>
      <c r="I55" s="64"/>
      <c r="J55" s="65"/>
      <c r="K55" s="52" t="s">
        <v>36</v>
      </c>
      <c r="L55" s="64"/>
      <c r="M55" s="64"/>
      <c r="N55" s="65"/>
      <c r="O55" s="52" t="s">
        <v>37</v>
      </c>
      <c r="P55" s="64"/>
      <c r="Q55" s="65"/>
      <c r="R55" s="52" t="s">
        <v>38</v>
      </c>
      <c r="S55" s="65"/>
      <c r="T55" s="52" t="s">
        <v>39</v>
      </c>
      <c r="U55" s="65"/>
      <c r="V55" s="52" t="s">
        <v>40</v>
      </c>
      <c r="W55" s="65"/>
      <c r="X55" s="52" t="s">
        <v>41</v>
      </c>
      <c r="Y55" s="53"/>
    </row>
    <row r="56" spans="1:25" ht="30" customHeight="1" x14ac:dyDescent="0.25">
      <c r="A56" s="35">
        <v>1</v>
      </c>
      <c r="B56" s="36" t="s">
        <v>191</v>
      </c>
      <c r="C56" s="46" t="s">
        <v>192</v>
      </c>
      <c r="D56" s="47"/>
      <c r="E56" s="47"/>
      <c r="F56" s="48"/>
      <c r="G56" s="67" t="s">
        <v>323</v>
      </c>
      <c r="H56" s="42"/>
      <c r="I56" s="42"/>
      <c r="J56" s="43"/>
      <c r="K56" s="49" t="s">
        <v>325</v>
      </c>
      <c r="L56" s="47"/>
      <c r="M56" s="47"/>
      <c r="N56" s="48"/>
      <c r="O56" s="46" t="s">
        <v>229</v>
      </c>
      <c r="P56" s="47"/>
      <c r="Q56" s="48"/>
      <c r="R56" s="49" t="s">
        <v>230</v>
      </c>
      <c r="S56" s="48"/>
      <c r="T56" s="46"/>
      <c r="U56" s="48"/>
      <c r="V56" s="49" t="s">
        <v>230</v>
      </c>
      <c r="W56" s="48"/>
      <c r="X56" s="50"/>
      <c r="Y56" s="51"/>
    </row>
    <row r="57" spans="1:25" ht="30" customHeight="1" x14ac:dyDescent="0.25">
      <c r="A57" s="35">
        <v>2</v>
      </c>
      <c r="B57" s="36" t="s">
        <v>182</v>
      </c>
      <c r="C57" s="46" t="s">
        <v>193</v>
      </c>
      <c r="D57" s="47"/>
      <c r="E57" s="47"/>
      <c r="F57" s="48"/>
      <c r="G57" s="67" t="s">
        <v>55</v>
      </c>
      <c r="H57" s="68"/>
      <c r="I57" s="68"/>
      <c r="J57" s="69"/>
      <c r="K57" s="46"/>
      <c r="L57" s="47"/>
      <c r="M57" s="47"/>
      <c r="N57" s="48"/>
      <c r="O57" s="46" t="s">
        <v>229</v>
      </c>
      <c r="P57" s="47"/>
      <c r="Q57" s="48"/>
      <c r="R57" s="46"/>
      <c r="S57" s="48"/>
      <c r="T57" s="49" t="s">
        <v>230</v>
      </c>
      <c r="U57" s="48"/>
      <c r="V57" s="46"/>
      <c r="W57" s="48"/>
      <c r="X57" s="50"/>
      <c r="Y57" s="51"/>
    </row>
    <row r="58" spans="1:25" ht="30" customHeight="1" x14ac:dyDescent="0.25">
      <c r="A58" s="35">
        <v>3</v>
      </c>
      <c r="B58" s="36" t="s">
        <v>194</v>
      </c>
      <c r="C58" s="46" t="s">
        <v>195</v>
      </c>
      <c r="D58" s="47"/>
      <c r="E58" s="47"/>
      <c r="F58" s="48"/>
      <c r="G58" s="67" t="s">
        <v>310</v>
      </c>
      <c r="H58" s="68"/>
      <c r="I58" s="68"/>
      <c r="J58" s="69"/>
      <c r="K58" s="46">
        <v>30</v>
      </c>
      <c r="L58" s="47"/>
      <c r="M58" s="47"/>
      <c r="N58" s="48"/>
      <c r="O58" s="46" t="s">
        <v>229</v>
      </c>
      <c r="P58" s="47"/>
      <c r="Q58" s="48"/>
      <c r="R58" s="46"/>
      <c r="S58" s="48"/>
      <c r="T58" s="46"/>
      <c r="U58" s="48"/>
      <c r="V58" s="46"/>
      <c r="W58" s="48"/>
      <c r="X58" s="50" t="s">
        <v>311</v>
      </c>
      <c r="Y58" s="51"/>
    </row>
    <row r="59" spans="1:25" ht="30" customHeight="1" x14ac:dyDescent="0.25">
      <c r="A59" s="35">
        <v>4</v>
      </c>
      <c r="B59" s="36" t="s">
        <v>196</v>
      </c>
      <c r="C59" s="46" t="s">
        <v>197</v>
      </c>
      <c r="D59" s="47"/>
      <c r="E59" s="47"/>
      <c r="F59" s="48"/>
      <c r="G59" s="67" t="s">
        <v>310</v>
      </c>
      <c r="H59" s="68"/>
      <c r="I59" s="68"/>
      <c r="J59" s="69"/>
      <c r="K59" s="46" t="s">
        <v>324</v>
      </c>
      <c r="L59" s="47"/>
      <c r="M59" s="47"/>
      <c r="N59" s="48"/>
      <c r="O59" s="46" t="s">
        <v>229</v>
      </c>
      <c r="P59" s="47"/>
      <c r="Q59" s="48"/>
      <c r="R59" s="46"/>
      <c r="S59" s="48"/>
      <c r="T59" s="46"/>
      <c r="U59" s="48"/>
      <c r="V59" s="46"/>
      <c r="W59" s="48"/>
      <c r="X59" s="50"/>
      <c r="Y59" s="51"/>
    </row>
    <row r="60" spans="1:25" ht="30" customHeight="1" x14ac:dyDescent="0.25">
      <c r="A60" s="35">
        <v>5</v>
      </c>
      <c r="B60" s="36" t="s">
        <v>164</v>
      </c>
      <c r="C60" s="46" t="s">
        <v>198</v>
      </c>
      <c r="D60" s="47"/>
      <c r="E60" s="47"/>
      <c r="F60" s="48"/>
      <c r="G60" s="67" t="s">
        <v>308</v>
      </c>
      <c r="H60" s="68"/>
      <c r="I60" s="68"/>
      <c r="J60" s="69"/>
      <c r="K60" s="46"/>
      <c r="L60" s="47"/>
      <c r="M60" s="47"/>
      <c r="N60" s="48"/>
      <c r="O60" s="46" t="s">
        <v>229</v>
      </c>
      <c r="P60" s="47"/>
      <c r="Q60" s="48"/>
      <c r="R60" s="46"/>
      <c r="S60" s="48"/>
      <c r="T60" s="46"/>
      <c r="U60" s="48"/>
      <c r="V60" s="46"/>
      <c r="W60" s="48"/>
      <c r="X60" s="50"/>
      <c r="Y60" s="51"/>
    </row>
    <row r="61" spans="1:25" ht="30" customHeight="1" x14ac:dyDescent="0.25">
      <c r="A61" s="35">
        <v>6</v>
      </c>
      <c r="B61" s="36" t="s">
        <v>199</v>
      </c>
      <c r="C61" s="46" t="s">
        <v>200</v>
      </c>
      <c r="D61" s="47"/>
      <c r="E61" s="47"/>
      <c r="F61" s="48"/>
      <c r="G61" s="67" t="s">
        <v>310</v>
      </c>
      <c r="H61" s="74"/>
      <c r="I61" s="74"/>
      <c r="J61" s="75"/>
      <c r="K61" s="46">
        <v>30</v>
      </c>
      <c r="L61" s="47"/>
      <c r="M61" s="47"/>
      <c r="N61" s="48"/>
      <c r="O61" s="46" t="s">
        <v>229</v>
      </c>
      <c r="P61" s="47"/>
      <c r="Q61" s="48"/>
      <c r="R61" s="46"/>
      <c r="S61" s="48"/>
      <c r="T61" s="46"/>
      <c r="U61" s="48"/>
      <c r="V61" s="46"/>
      <c r="W61" s="48"/>
      <c r="X61" s="50" t="s">
        <v>312</v>
      </c>
      <c r="Y61" s="51"/>
    </row>
    <row r="62" spans="1:25" ht="48" customHeight="1" thickBot="1" x14ac:dyDescent="0.3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54" customHeight="1" thickTop="1" x14ac:dyDescent="0.25">
      <c r="A63" s="20">
        <f>'Invetario de Tablas'!A13</f>
        <v>10</v>
      </c>
      <c r="B63" s="29" t="s">
        <v>28</v>
      </c>
      <c r="C63" s="54" t="str">
        <f>'Invetario de Tablas'!B13</f>
        <v>entidad_financiera</v>
      </c>
      <c r="D63" s="55"/>
      <c r="E63" s="55"/>
      <c r="F63" s="56"/>
      <c r="G63" s="57" t="s">
        <v>29</v>
      </c>
      <c r="H63" s="58"/>
      <c r="I63" s="58"/>
      <c r="J63" s="59"/>
      <c r="K63" s="60" t="str">
        <f>'Invetario de Tablas'!C13</f>
        <v>Organización que puede brindar apoyo económico o financiamiento a proyectos o investigaciones del sector apícola</v>
      </c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2"/>
      <c r="X63" s="21" t="s">
        <v>32</v>
      </c>
      <c r="Y63" s="22"/>
    </row>
    <row r="64" spans="1:25" ht="60" customHeight="1" x14ac:dyDescent="0.25">
      <c r="A64" s="23" t="s">
        <v>1</v>
      </c>
      <c r="B64" s="24" t="s">
        <v>33</v>
      </c>
      <c r="C64" s="52" t="s">
        <v>34</v>
      </c>
      <c r="D64" s="64"/>
      <c r="E64" s="64"/>
      <c r="F64" s="65"/>
      <c r="G64" s="52" t="s">
        <v>45</v>
      </c>
      <c r="H64" s="64"/>
      <c r="I64" s="64"/>
      <c r="J64" s="65"/>
      <c r="K64" s="52" t="s">
        <v>36</v>
      </c>
      <c r="L64" s="64"/>
      <c r="M64" s="64"/>
      <c r="N64" s="65"/>
      <c r="O64" s="52" t="s">
        <v>37</v>
      </c>
      <c r="P64" s="64"/>
      <c r="Q64" s="65"/>
      <c r="R64" s="52" t="s">
        <v>38</v>
      </c>
      <c r="S64" s="65"/>
      <c r="T64" s="52" t="s">
        <v>39</v>
      </c>
      <c r="U64" s="65"/>
      <c r="V64" s="52" t="s">
        <v>40</v>
      </c>
      <c r="W64" s="65"/>
      <c r="X64" s="52" t="s">
        <v>41</v>
      </c>
      <c r="Y64" s="53"/>
    </row>
    <row r="65" spans="1:25" ht="30" customHeight="1" x14ac:dyDescent="0.25">
      <c r="A65" s="35">
        <v>1</v>
      </c>
      <c r="B65" s="36" t="s">
        <v>201</v>
      </c>
      <c r="C65" s="46" t="s">
        <v>202</v>
      </c>
      <c r="D65" s="47"/>
      <c r="E65" s="47"/>
      <c r="F65" s="48"/>
      <c r="G65" s="67" t="s">
        <v>323</v>
      </c>
      <c r="H65" s="42"/>
      <c r="I65" s="42"/>
      <c r="J65" s="43"/>
      <c r="K65" s="49" t="s">
        <v>325</v>
      </c>
      <c r="L65" s="47"/>
      <c r="M65" s="47"/>
      <c r="N65" s="48"/>
      <c r="O65" s="46" t="s">
        <v>229</v>
      </c>
      <c r="P65" s="47"/>
      <c r="Q65" s="48"/>
      <c r="R65" s="49" t="s">
        <v>230</v>
      </c>
      <c r="S65" s="48"/>
      <c r="T65" s="46"/>
      <c r="U65" s="48"/>
      <c r="V65" s="49" t="s">
        <v>230</v>
      </c>
      <c r="W65" s="48"/>
      <c r="X65" s="50"/>
      <c r="Y65" s="51"/>
    </row>
    <row r="66" spans="1:25" ht="30" customHeight="1" x14ac:dyDescent="0.25">
      <c r="A66" s="35">
        <v>2</v>
      </c>
      <c r="B66" s="36" t="s">
        <v>146</v>
      </c>
      <c r="C66" s="46" t="s">
        <v>203</v>
      </c>
      <c r="D66" s="47"/>
      <c r="E66" s="47"/>
      <c r="F66" s="48"/>
      <c r="G66" s="67" t="s">
        <v>310</v>
      </c>
      <c r="H66" s="68"/>
      <c r="I66" s="68"/>
      <c r="J66" s="69"/>
      <c r="K66" s="46">
        <v>100</v>
      </c>
      <c r="L66" s="47"/>
      <c r="M66" s="47"/>
      <c r="N66" s="48"/>
      <c r="O66" s="46" t="s">
        <v>229</v>
      </c>
      <c r="P66" s="47"/>
      <c r="Q66" s="48"/>
      <c r="R66" s="46"/>
      <c r="S66" s="48"/>
      <c r="T66" s="46"/>
      <c r="U66" s="48"/>
      <c r="V66" s="46"/>
      <c r="W66" s="48"/>
      <c r="X66" s="50"/>
      <c r="Y66" s="51"/>
    </row>
    <row r="67" spans="1:25" ht="30" customHeight="1" x14ac:dyDescent="0.25">
      <c r="A67" s="35">
        <v>3</v>
      </c>
      <c r="B67" s="36" t="s">
        <v>204</v>
      </c>
      <c r="C67" s="46" t="s">
        <v>203</v>
      </c>
      <c r="D67" s="47"/>
      <c r="E67" s="47"/>
      <c r="F67" s="48"/>
      <c r="G67" s="67" t="s">
        <v>310</v>
      </c>
      <c r="H67" s="68"/>
      <c r="I67" s="68"/>
      <c r="J67" s="69"/>
      <c r="K67" s="46">
        <v>100</v>
      </c>
      <c r="L67" s="47"/>
      <c r="M67" s="47"/>
      <c r="N67" s="48"/>
      <c r="O67" s="46" t="s">
        <v>229</v>
      </c>
      <c r="P67" s="47"/>
      <c r="Q67" s="48"/>
      <c r="R67" s="46"/>
      <c r="S67" s="48"/>
      <c r="T67" s="46"/>
      <c r="U67" s="48"/>
      <c r="V67" s="46"/>
      <c r="W67" s="48"/>
      <c r="X67" s="50"/>
      <c r="Y67" s="51"/>
    </row>
    <row r="68" spans="1:25" ht="30" customHeight="1" x14ac:dyDescent="0.25">
      <c r="A68" s="35">
        <v>4</v>
      </c>
      <c r="B68" s="36" t="s">
        <v>151</v>
      </c>
      <c r="C68" s="46" t="s">
        <v>153</v>
      </c>
      <c r="D68" s="47"/>
      <c r="E68" s="47"/>
      <c r="F68" s="48"/>
      <c r="G68" s="67" t="s">
        <v>310</v>
      </c>
      <c r="H68" s="68"/>
      <c r="I68" s="68"/>
      <c r="J68" s="69"/>
      <c r="K68" s="46">
        <v>15</v>
      </c>
      <c r="L68" s="47"/>
      <c r="M68" s="47"/>
      <c r="N68" s="48"/>
      <c r="O68" s="46" t="s">
        <v>229</v>
      </c>
      <c r="P68" s="47"/>
      <c r="Q68" s="48"/>
      <c r="R68" s="46"/>
      <c r="S68" s="48"/>
      <c r="T68" s="46"/>
      <c r="U68" s="48"/>
      <c r="V68" s="49" t="s">
        <v>230</v>
      </c>
      <c r="W68" s="48"/>
      <c r="X68" s="50"/>
      <c r="Y68" s="51"/>
    </row>
    <row r="69" spans="1:25" ht="30" customHeight="1" x14ac:dyDescent="0.25">
      <c r="A69" s="35">
        <v>5</v>
      </c>
      <c r="B69" s="36" t="s">
        <v>152</v>
      </c>
      <c r="C69" s="46" t="s">
        <v>154</v>
      </c>
      <c r="D69" s="47"/>
      <c r="E69" s="47"/>
      <c r="F69" s="48"/>
      <c r="G69" s="67" t="s">
        <v>310</v>
      </c>
      <c r="H69" s="68"/>
      <c r="I69" s="68"/>
      <c r="J69" s="69"/>
      <c r="K69" s="46">
        <v>100</v>
      </c>
      <c r="L69" s="47"/>
      <c r="M69" s="47"/>
      <c r="N69" s="48"/>
      <c r="O69" s="46" t="s">
        <v>229</v>
      </c>
      <c r="P69" s="47"/>
      <c r="Q69" s="48"/>
      <c r="R69" s="46"/>
      <c r="S69" s="48"/>
      <c r="T69" s="46"/>
      <c r="U69" s="48"/>
      <c r="V69" s="49" t="s">
        <v>230</v>
      </c>
      <c r="W69" s="48"/>
      <c r="X69" s="50"/>
      <c r="Y69" s="51"/>
    </row>
    <row r="70" spans="1:25" ht="48" customHeight="1" thickBot="1" x14ac:dyDescent="0.3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spans="1:25" ht="54" customHeight="1" thickTop="1" x14ac:dyDescent="0.25">
      <c r="A71" s="20">
        <f>'Invetario de Tablas'!A14</f>
        <v>11</v>
      </c>
      <c r="B71" s="29" t="s">
        <v>28</v>
      </c>
      <c r="C71" s="54" t="str">
        <f>'Invetario de Tablas'!B14</f>
        <v>entidad_reguladora</v>
      </c>
      <c r="D71" s="55"/>
      <c r="E71" s="55"/>
      <c r="F71" s="56"/>
      <c r="G71" s="57" t="s">
        <v>29</v>
      </c>
      <c r="H71" s="58"/>
      <c r="I71" s="58"/>
      <c r="J71" s="59"/>
      <c r="K71" s="60" t="str">
        <f>'Invetario de Tablas'!C14</f>
        <v>Entidad encargada de supervisar el cumplimiento de normas y emitir certificaciones relacionadas con la producción apícola</v>
      </c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2"/>
      <c r="X71" s="21" t="s">
        <v>32</v>
      </c>
      <c r="Y71" s="22"/>
    </row>
    <row r="72" spans="1:25" ht="60" customHeight="1" x14ac:dyDescent="0.25">
      <c r="A72" s="23" t="s">
        <v>1</v>
      </c>
      <c r="B72" s="24" t="s">
        <v>33</v>
      </c>
      <c r="C72" s="52" t="s">
        <v>34</v>
      </c>
      <c r="D72" s="64"/>
      <c r="E72" s="64"/>
      <c r="F72" s="65"/>
      <c r="G72" s="52" t="s">
        <v>45</v>
      </c>
      <c r="H72" s="64"/>
      <c r="I72" s="64"/>
      <c r="J72" s="65"/>
      <c r="K72" s="52" t="s">
        <v>36</v>
      </c>
      <c r="L72" s="64"/>
      <c r="M72" s="64"/>
      <c r="N72" s="65"/>
      <c r="O72" s="52" t="s">
        <v>37</v>
      </c>
      <c r="P72" s="64"/>
      <c r="Q72" s="65"/>
      <c r="R72" s="52" t="s">
        <v>38</v>
      </c>
      <c r="S72" s="65"/>
      <c r="T72" s="52" t="s">
        <v>39</v>
      </c>
      <c r="U72" s="65"/>
      <c r="V72" s="52" t="s">
        <v>40</v>
      </c>
      <c r="W72" s="65"/>
      <c r="X72" s="52" t="s">
        <v>41</v>
      </c>
      <c r="Y72" s="53"/>
    </row>
    <row r="73" spans="1:25" ht="30" customHeight="1" x14ac:dyDescent="0.25">
      <c r="A73" s="37">
        <v>1</v>
      </c>
      <c r="B73" s="36" t="s">
        <v>205</v>
      </c>
      <c r="C73" s="46" t="s">
        <v>206</v>
      </c>
      <c r="D73" s="47"/>
      <c r="E73" s="47"/>
      <c r="F73" s="48"/>
      <c r="G73" s="67" t="s">
        <v>323</v>
      </c>
      <c r="H73" s="42"/>
      <c r="I73" s="42"/>
      <c r="J73" s="43"/>
      <c r="K73" s="49" t="s">
        <v>325</v>
      </c>
      <c r="L73" s="47"/>
      <c r="M73" s="47"/>
      <c r="N73" s="48"/>
      <c r="O73" s="46" t="s">
        <v>229</v>
      </c>
      <c r="P73" s="47"/>
      <c r="Q73" s="48"/>
      <c r="R73" s="49" t="s">
        <v>230</v>
      </c>
      <c r="S73" s="48"/>
      <c r="T73" s="46"/>
      <c r="U73" s="48"/>
      <c r="V73" s="49" t="s">
        <v>230</v>
      </c>
      <c r="W73" s="48"/>
      <c r="X73" s="50"/>
      <c r="Y73" s="51"/>
    </row>
    <row r="74" spans="1:25" ht="30" customHeight="1" x14ac:dyDescent="0.25">
      <c r="A74" s="37">
        <v>2</v>
      </c>
      <c r="B74" s="36" t="s">
        <v>146</v>
      </c>
      <c r="C74" s="46" t="s">
        <v>207</v>
      </c>
      <c r="D74" s="47"/>
      <c r="E74" s="47"/>
      <c r="F74" s="48"/>
      <c r="G74" s="67" t="s">
        <v>310</v>
      </c>
      <c r="H74" s="68"/>
      <c r="I74" s="68"/>
      <c r="J74" s="69"/>
      <c r="K74" s="46">
        <v>100</v>
      </c>
      <c r="L74" s="47"/>
      <c r="M74" s="47"/>
      <c r="N74" s="48"/>
      <c r="O74" s="46" t="s">
        <v>229</v>
      </c>
      <c r="P74" s="47"/>
      <c r="Q74" s="48"/>
      <c r="R74" s="46"/>
      <c r="S74" s="48"/>
      <c r="T74" s="46"/>
      <c r="U74" s="48"/>
      <c r="V74" s="46"/>
      <c r="W74" s="48"/>
      <c r="X74" s="50"/>
      <c r="Y74" s="51"/>
    </row>
    <row r="75" spans="1:25" ht="30" customHeight="1" x14ac:dyDescent="0.25">
      <c r="A75" s="37">
        <v>3</v>
      </c>
      <c r="B75" s="36" t="s">
        <v>208</v>
      </c>
      <c r="C75" s="46" t="s">
        <v>209</v>
      </c>
      <c r="D75" s="47"/>
      <c r="E75" s="47"/>
      <c r="F75" s="48"/>
      <c r="G75" s="67" t="s">
        <v>310</v>
      </c>
      <c r="H75" s="68"/>
      <c r="I75" s="68"/>
      <c r="J75" s="69"/>
      <c r="K75" s="46">
        <v>100</v>
      </c>
      <c r="L75" s="47"/>
      <c r="M75" s="47"/>
      <c r="N75" s="48"/>
      <c r="O75" s="46" t="s">
        <v>229</v>
      </c>
      <c r="P75" s="47"/>
      <c r="Q75" s="48"/>
      <c r="R75" s="46"/>
      <c r="S75" s="48"/>
      <c r="T75" s="46"/>
      <c r="U75" s="48"/>
      <c r="V75" s="46"/>
      <c r="W75" s="48"/>
      <c r="X75" s="50"/>
      <c r="Y75" s="51"/>
    </row>
    <row r="76" spans="1:25" ht="30" customHeight="1" x14ac:dyDescent="0.25">
      <c r="A76" s="37">
        <v>4</v>
      </c>
      <c r="B76" s="36" t="s">
        <v>151</v>
      </c>
      <c r="C76" s="46" t="s">
        <v>210</v>
      </c>
      <c r="D76" s="47"/>
      <c r="E76" s="47"/>
      <c r="F76" s="48"/>
      <c r="G76" s="67" t="s">
        <v>310</v>
      </c>
      <c r="H76" s="68"/>
      <c r="I76" s="68"/>
      <c r="J76" s="69"/>
      <c r="K76" s="46">
        <v>15</v>
      </c>
      <c r="L76" s="47"/>
      <c r="M76" s="47"/>
      <c r="N76" s="48"/>
      <c r="O76" s="46" t="s">
        <v>229</v>
      </c>
      <c r="P76" s="47"/>
      <c r="Q76" s="48"/>
      <c r="R76" s="46"/>
      <c r="S76" s="48"/>
      <c r="T76" s="46"/>
      <c r="U76" s="48"/>
      <c r="V76" s="49" t="s">
        <v>230</v>
      </c>
      <c r="W76" s="48"/>
      <c r="X76" s="50"/>
      <c r="Y76" s="51"/>
    </row>
    <row r="77" spans="1:25" ht="30" customHeight="1" x14ac:dyDescent="0.25">
      <c r="A77" s="37">
        <v>5</v>
      </c>
      <c r="B77" s="36" t="s">
        <v>152</v>
      </c>
      <c r="C77" s="46" t="s">
        <v>211</v>
      </c>
      <c r="D77" s="47"/>
      <c r="E77" s="47"/>
      <c r="F77" s="48"/>
      <c r="G77" s="67" t="s">
        <v>310</v>
      </c>
      <c r="H77" s="68"/>
      <c r="I77" s="68"/>
      <c r="J77" s="69"/>
      <c r="K77" s="46">
        <v>100</v>
      </c>
      <c r="L77" s="47"/>
      <c r="M77" s="47"/>
      <c r="N77" s="48"/>
      <c r="O77" s="46" t="s">
        <v>229</v>
      </c>
      <c r="P77" s="47"/>
      <c r="Q77" s="48"/>
      <c r="R77" s="46"/>
      <c r="S77" s="48"/>
      <c r="T77" s="46"/>
      <c r="U77" s="48"/>
      <c r="V77" s="49" t="s">
        <v>230</v>
      </c>
      <c r="W77" s="48"/>
      <c r="X77" s="50"/>
      <c r="Y77" s="51"/>
    </row>
    <row r="78" spans="1:25" ht="48" customHeight="1" thickBot="1" x14ac:dyDescent="0.3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 spans="1:25" ht="54" customHeight="1" thickTop="1" x14ac:dyDescent="0.25">
      <c r="A79" s="20">
        <f>'Invetario de Tablas'!A15</f>
        <v>12</v>
      </c>
      <c r="B79" s="29" t="s">
        <v>28</v>
      </c>
      <c r="C79" s="54" t="str">
        <f>'Invetario de Tablas'!B15</f>
        <v>cooperativa</v>
      </c>
      <c r="D79" s="55"/>
      <c r="E79" s="55"/>
      <c r="F79" s="56"/>
      <c r="G79" s="57" t="s">
        <v>29</v>
      </c>
      <c r="H79" s="58"/>
      <c r="I79" s="58"/>
      <c r="J79" s="59"/>
      <c r="K79" s="60" t="str">
        <f>'Invetario de Tablas'!C15</f>
        <v>Organizacion que apoya procesos productivos</v>
      </c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2"/>
      <c r="X79" s="21" t="s">
        <v>32</v>
      </c>
      <c r="Y79" s="22"/>
    </row>
    <row r="80" spans="1:25" ht="60" customHeight="1" x14ac:dyDescent="0.25">
      <c r="A80" s="23" t="s">
        <v>1</v>
      </c>
      <c r="B80" s="24" t="s">
        <v>33</v>
      </c>
      <c r="C80" s="52" t="s">
        <v>34</v>
      </c>
      <c r="D80" s="64"/>
      <c r="E80" s="64"/>
      <c r="F80" s="65"/>
      <c r="G80" s="52" t="s">
        <v>45</v>
      </c>
      <c r="H80" s="64"/>
      <c r="I80" s="64"/>
      <c r="J80" s="65"/>
      <c r="K80" s="52" t="s">
        <v>36</v>
      </c>
      <c r="L80" s="64"/>
      <c r="M80" s="64"/>
      <c r="N80" s="65"/>
      <c r="O80" s="52" t="s">
        <v>37</v>
      </c>
      <c r="P80" s="64"/>
      <c r="Q80" s="65"/>
      <c r="R80" s="52" t="s">
        <v>38</v>
      </c>
      <c r="S80" s="65"/>
      <c r="T80" s="52" t="s">
        <v>39</v>
      </c>
      <c r="U80" s="65"/>
      <c r="V80" s="52" t="s">
        <v>40</v>
      </c>
      <c r="W80" s="65"/>
      <c r="X80" s="52" t="s">
        <v>41</v>
      </c>
      <c r="Y80" s="53"/>
    </row>
    <row r="81" spans="1:25" ht="30" customHeight="1" x14ac:dyDescent="0.25">
      <c r="A81" s="37">
        <v>1</v>
      </c>
      <c r="B81" s="36" t="s">
        <v>212</v>
      </c>
      <c r="C81" s="46" t="s">
        <v>213</v>
      </c>
      <c r="D81" s="47"/>
      <c r="E81" s="47"/>
      <c r="F81" s="48"/>
      <c r="G81" s="67" t="s">
        <v>323</v>
      </c>
      <c r="H81" s="42"/>
      <c r="I81" s="42"/>
      <c r="J81" s="43"/>
      <c r="K81" s="49" t="s">
        <v>325</v>
      </c>
      <c r="L81" s="47"/>
      <c r="M81" s="47"/>
      <c r="N81" s="48"/>
      <c r="O81" s="46" t="s">
        <v>229</v>
      </c>
      <c r="P81" s="47"/>
      <c r="Q81" s="48"/>
      <c r="R81" s="49" t="s">
        <v>230</v>
      </c>
      <c r="S81" s="48"/>
      <c r="T81" s="46"/>
      <c r="U81" s="48"/>
      <c r="V81" s="49" t="s">
        <v>230</v>
      </c>
      <c r="W81" s="48"/>
      <c r="X81" s="50"/>
      <c r="Y81" s="51"/>
    </row>
    <row r="82" spans="1:25" ht="30" customHeight="1" x14ac:dyDescent="0.25">
      <c r="A82" s="37">
        <v>2</v>
      </c>
      <c r="B82" s="36" t="s">
        <v>146</v>
      </c>
      <c r="C82" s="46" t="s">
        <v>214</v>
      </c>
      <c r="D82" s="47"/>
      <c r="E82" s="47"/>
      <c r="F82" s="48"/>
      <c r="G82" s="67" t="s">
        <v>310</v>
      </c>
      <c r="H82" s="68"/>
      <c r="I82" s="68"/>
      <c r="J82" s="69"/>
      <c r="K82" s="46">
        <v>100</v>
      </c>
      <c r="L82" s="47"/>
      <c r="M82" s="47"/>
      <c r="N82" s="48"/>
      <c r="O82" s="46" t="s">
        <v>229</v>
      </c>
      <c r="P82" s="47"/>
      <c r="Q82" s="48"/>
      <c r="R82" s="46"/>
      <c r="S82" s="48"/>
      <c r="T82" s="46"/>
      <c r="U82" s="48"/>
      <c r="V82" s="46"/>
      <c r="W82" s="48"/>
      <c r="X82" s="50"/>
      <c r="Y82" s="51"/>
    </row>
    <row r="83" spans="1:25" ht="30" customHeight="1" x14ac:dyDescent="0.25">
      <c r="A83" s="37">
        <v>3</v>
      </c>
      <c r="B83" s="36" t="s">
        <v>215</v>
      </c>
      <c r="C83" s="46" t="s">
        <v>216</v>
      </c>
      <c r="D83" s="47"/>
      <c r="E83" s="47"/>
      <c r="F83" s="48"/>
      <c r="G83" s="67" t="s">
        <v>310</v>
      </c>
      <c r="H83" s="68"/>
      <c r="I83" s="68"/>
      <c r="J83" s="69"/>
      <c r="K83" s="46">
        <v>100</v>
      </c>
      <c r="L83" s="47"/>
      <c r="M83" s="47"/>
      <c r="N83" s="48"/>
      <c r="O83" s="46" t="s">
        <v>229</v>
      </c>
      <c r="P83" s="47"/>
      <c r="Q83" s="48"/>
      <c r="R83" s="46"/>
      <c r="S83" s="48"/>
      <c r="T83" s="46"/>
      <c r="U83" s="48"/>
      <c r="V83" s="46"/>
      <c r="W83" s="48"/>
      <c r="X83" s="50"/>
      <c r="Y83" s="51"/>
    </row>
    <row r="84" spans="1:25" ht="30" customHeight="1" x14ac:dyDescent="0.25">
      <c r="A84" s="37">
        <v>4</v>
      </c>
      <c r="B84" s="36" t="s">
        <v>151</v>
      </c>
      <c r="C84" s="46" t="s">
        <v>217</v>
      </c>
      <c r="D84" s="47"/>
      <c r="E84" s="47"/>
      <c r="F84" s="48"/>
      <c r="G84" s="67" t="s">
        <v>310</v>
      </c>
      <c r="H84" s="68"/>
      <c r="I84" s="68"/>
      <c r="J84" s="69"/>
      <c r="K84" s="46">
        <v>15</v>
      </c>
      <c r="L84" s="47"/>
      <c r="M84" s="47"/>
      <c r="N84" s="48"/>
      <c r="O84" s="46" t="s">
        <v>229</v>
      </c>
      <c r="P84" s="47"/>
      <c r="Q84" s="48"/>
      <c r="R84" s="46"/>
      <c r="S84" s="48"/>
      <c r="T84" s="46"/>
      <c r="U84" s="48"/>
      <c r="V84" s="49" t="s">
        <v>230</v>
      </c>
      <c r="W84" s="48"/>
      <c r="X84" s="50"/>
      <c r="Y84" s="51"/>
    </row>
    <row r="85" spans="1:25" ht="30" customHeight="1" x14ac:dyDescent="0.25">
      <c r="A85" s="37">
        <v>5</v>
      </c>
      <c r="B85" s="36" t="s">
        <v>218</v>
      </c>
      <c r="C85" s="46" t="s">
        <v>219</v>
      </c>
      <c r="D85" s="47"/>
      <c r="E85" s="47"/>
      <c r="F85" s="48"/>
      <c r="G85" s="67" t="s">
        <v>66</v>
      </c>
      <c r="H85" s="68"/>
      <c r="I85" s="68"/>
      <c r="J85" s="69"/>
      <c r="K85" s="46"/>
      <c r="L85" s="47"/>
      <c r="M85" s="47"/>
      <c r="N85" s="48"/>
      <c r="O85" s="46" t="s">
        <v>229</v>
      </c>
      <c r="P85" s="47"/>
      <c r="Q85" s="48"/>
      <c r="R85" s="46"/>
      <c r="S85" s="48"/>
      <c r="T85" s="46"/>
      <c r="U85" s="48"/>
      <c r="V85" s="46"/>
      <c r="W85" s="48"/>
      <c r="X85" s="50"/>
      <c r="Y85" s="51"/>
    </row>
    <row r="86" spans="1:25" ht="48" customHeight="1" thickBot="1" x14ac:dyDescent="0.3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 spans="1:25" ht="54" customHeight="1" thickTop="1" x14ac:dyDescent="0.25">
      <c r="A87" s="20">
        <f>'Invetario de Tablas'!A16</f>
        <v>13</v>
      </c>
      <c r="B87" s="29" t="s">
        <v>28</v>
      </c>
      <c r="C87" s="54" t="str">
        <f>'Invetario de Tablas'!B16</f>
        <v>certificacion</v>
      </c>
      <c r="D87" s="55"/>
      <c r="E87" s="55"/>
      <c r="F87" s="56"/>
      <c r="G87" s="57" t="s">
        <v>29</v>
      </c>
      <c r="H87" s="58"/>
      <c r="I87" s="58"/>
      <c r="J87" s="59"/>
      <c r="K87" s="60" t="str">
        <f>'Invetario de Tablas'!C16</f>
        <v>Certificacion reguladora que cumple con normas puestas por la entidad reguladora</v>
      </c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2"/>
      <c r="X87" s="21" t="s">
        <v>32</v>
      </c>
      <c r="Y87" s="22"/>
    </row>
    <row r="88" spans="1:25" ht="60" customHeight="1" x14ac:dyDescent="0.25">
      <c r="A88" s="23" t="s">
        <v>1</v>
      </c>
      <c r="B88" s="24" t="s">
        <v>33</v>
      </c>
      <c r="C88" s="52" t="s">
        <v>34</v>
      </c>
      <c r="D88" s="64"/>
      <c r="E88" s="64"/>
      <c r="F88" s="65"/>
      <c r="G88" s="52" t="s">
        <v>45</v>
      </c>
      <c r="H88" s="64"/>
      <c r="I88" s="64"/>
      <c r="J88" s="65"/>
      <c r="K88" s="52" t="s">
        <v>36</v>
      </c>
      <c r="L88" s="64"/>
      <c r="M88" s="64"/>
      <c r="N88" s="65"/>
      <c r="O88" s="52" t="s">
        <v>37</v>
      </c>
      <c r="P88" s="64"/>
      <c r="Q88" s="65"/>
      <c r="R88" s="52" t="s">
        <v>38</v>
      </c>
      <c r="S88" s="65"/>
      <c r="T88" s="52" t="s">
        <v>39</v>
      </c>
      <c r="U88" s="65"/>
      <c r="V88" s="52" t="s">
        <v>40</v>
      </c>
      <c r="W88" s="65"/>
      <c r="X88" s="52" t="s">
        <v>41</v>
      </c>
      <c r="Y88" s="53"/>
    </row>
    <row r="89" spans="1:25" ht="30" customHeight="1" x14ac:dyDescent="0.25">
      <c r="A89" s="37">
        <v>1</v>
      </c>
      <c r="B89" s="36" t="s">
        <v>220</v>
      </c>
      <c r="C89" s="46" t="s">
        <v>221</v>
      </c>
      <c r="D89" s="47"/>
      <c r="E89" s="47"/>
      <c r="F89" s="48"/>
      <c r="G89" s="67" t="s">
        <v>323</v>
      </c>
      <c r="H89" s="42"/>
      <c r="I89" s="42"/>
      <c r="J89" s="43"/>
      <c r="K89" s="49" t="s">
        <v>325</v>
      </c>
      <c r="L89" s="47"/>
      <c r="M89" s="47"/>
      <c r="N89" s="48"/>
      <c r="O89" s="46" t="s">
        <v>229</v>
      </c>
      <c r="P89" s="47"/>
      <c r="Q89" s="48"/>
      <c r="R89" s="49" t="s">
        <v>230</v>
      </c>
      <c r="S89" s="48"/>
      <c r="T89" s="46"/>
      <c r="U89" s="48"/>
      <c r="V89" s="49" t="s">
        <v>230</v>
      </c>
      <c r="W89" s="48"/>
      <c r="X89" s="50"/>
      <c r="Y89" s="51"/>
    </row>
    <row r="90" spans="1:25" ht="30" customHeight="1" x14ac:dyDescent="0.25">
      <c r="A90" s="37">
        <v>2</v>
      </c>
      <c r="B90" s="36" t="s">
        <v>205</v>
      </c>
      <c r="C90" s="46" t="s">
        <v>206</v>
      </c>
      <c r="D90" s="47"/>
      <c r="E90" s="47"/>
      <c r="F90" s="48"/>
      <c r="G90" s="67" t="s">
        <v>55</v>
      </c>
      <c r="H90" s="68"/>
      <c r="I90" s="68"/>
      <c r="J90" s="69"/>
      <c r="K90" s="46"/>
      <c r="L90" s="47"/>
      <c r="M90" s="47"/>
      <c r="N90" s="48"/>
      <c r="O90" s="46" t="s">
        <v>229</v>
      </c>
      <c r="P90" s="47"/>
      <c r="Q90" s="48"/>
      <c r="R90" s="46"/>
      <c r="S90" s="48"/>
      <c r="T90" s="49" t="s">
        <v>230</v>
      </c>
      <c r="U90" s="48"/>
      <c r="V90" s="46"/>
      <c r="W90" s="48"/>
      <c r="X90" s="50"/>
      <c r="Y90" s="51"/>
    </row>
    <row r="91" spans="1:25" ht="30" customHeight="1" x14ac:dyDescent="0.25">
      <c r="A91" s="37">
        <v>3</v>
      </c>
      <c r="B91" s="36" t="s">
        <v>147</v>
      </c>
      <c r="C91" s="46" t="s">
        <v>222</v>
      </c>
      <c r="D91" s="47"/>
      <c r="E91" s="47"/>
      <c r="F91" s="48"/>
      <c r="G91" s="67" t="s">
        <v>310</v>
      </c>
      <c r="H91" s="68"/>
      <c r="I91" s="68"/>
      <c r="J91" s="69"/>
      <c r="K91" s="46" t="s">
        <v>324</v>
      </c>
      <c r="L91" s="47"/>
      <c r="M91" s="47"/>
      <c r="N91" s="48"/>
      <c r="O91" s="46" t="s">
        <v>231</v>
      </c>
      <c r="P91" s="47"/>
      <c r="Q91" s="48"/>
      <c r="R91" s="46"/>
      <c r="S91" s="48"/>
      <c r="T91" s="46"/>
      <c r="U91" s="48"/>
      <c r="V91" s="46"/>
      <c r="W91" s="48"/>
      <c r="X91" s="50"/>
      <c r="Y91" s="51"/>
    </row>
    <row r="92" spans="1:25" ht="30" customHeight="1" x14ac:dyDescent="0.25">
      <c r="A92" s="37">
        <v>4</v>
      </c>
      <c r="B92" s="36" t="s">
        <v>223</v>
      </c>
      <c r="C92" s="46" t="s">
        <v>224</v>
      </c>
      <c r="D92" s="47"/>
      <c r="E92" s="47"/>
      <c r="F92" s="48"/>
      <c r="G92" s="67" t="s">
        <v>66</v>
      </c>
      <c r="H92" s="68"/>
      <c r="I92" s="68"/>
      <c r="J92" s="69"/>
      <c r="K92" s="46"/>
      <c r="L92" s="47"/>
      <c r="M92" s="47"/>
      <c r="N92" s="48"/>
      <c r="O92" s="46" t="s">
        <v>231</v>
      </c>
      <c r="P92" s="47"/>
      <c r="Q92" s="48"/>
      <c r="R92" s="46"/>
      <c r="S92" s="48"/>
      <c r="T92" s="46"/>
      <c r="U92" s="48"/>
      <c r="V92" s="46"/>
      <c r="W92" s="48"/>
      <c r="X92" s="50"/>
      <c r="Y92" s="51"/>
    </row>
    <row r="93" spans="1:25" ht="30" customHeight="1" x14ac:dyDescent="0.25">
      <c r="A93" s="37">
        <v>5</v>
      </c>
      <c r="B93" s="36" t="s">
        <v>225</v>
      </c>
      <c r="C93" s="46" t="s">
        <v>226</v>
      </c>
      <c r="D93" s="47"/>
      <c r="E93" s="47"/>
      <c r="F93" s="48"/>
      <c r="G93" s="67" t="s">
        <v>66</v>
      </c>
      <c r="H93" s="68"/>
      <c r="I93" s="68"/>
      <c r="J93" s="69"/>
      <c r="K93" s="46"/>
      <c r="L93" s="47"/>
      <c r="M93" s="47"/>
      <c r="N93" s="48"/>
      <c r="O93" s="46" t="s">
        <v>231</v>
      </c>
      <c r="P93" s="47"/>
      <c r="Q93" s="48"/>
      <c r="R93" s="46"/>
      <c r="S93" s="48"/>
      <c r="T93" s="46"/>
      <c r="U93" s="48"/>
      <c r="V93" s="46"/>
      <c r="W93" s="48"/>
      <c r="X93" s="50"/>
      <c r="Y93" s="51"/>
    </row>
    <row r="94" spans="1:25" ht="30" customHeight="1" x14ac:dyDescent="0.25">
      <c r="A94" s="37">
        <v>6</v>
      </c>
      <c r="B94" s="36" t="s">
        <v>227</v>
      </c>
      <c r="C94" s="46" t="s">
        <v>228</v>
      </c>
      <c r="D94" s="47"/>
      <c r="E94" s="47"/>
      <c r="F94" s="48"/>
      <c r="G94" s="67" t="s">
        <v>310</v>
      </c>
      <c r="H94" s="68"/>
      <c r="I94" s="68"/>
      <c r="J94" s="69"/>
      <c r="K94" s="46">
        <v>100</v>
      </c>
      <c r="L94" s="47"/>
      <c r="M94" s="47"/>
      <c r="N94" s="48"/>
      <c r="O94" s="46" t="s">
        <v>231</v>
      </c>
      <c r="P94" s="47"/>
      <c r="Q94" s="48"/>
      <c r="R94" s="46"/>
      <c r="S94" s="48"/>
      <c r="T94" s="46"/>
      <c r="U94" s="48"/>
      <c r="V94" s="46"/>
      <c r="W94" s="48"/>
      <c r="X94" s="50"/>
      <c r="Y94" s="51"/>
    </row>
    <row r="95" spans="1:25" ht="48" customHeight="1" thickBot="1" x14ac:dyDescent="0.3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 spans="1:25" ht="54" customHeight="1" thickTop="1" x14ac:dyDescent="0.25">
      <c r="A96" s="20">
        <f>'Invetario de Tablas'!A17</f>
        <v>14</v>
      </c>
      <c r="B96" s="29" t="s">
        <v>28</v>
      </c>
      <c r="C96" s="54" t="str">
        <f>'Invetario de Tablas'!B17</f>
        <v>consumidor</v>
      </c>
      <c r="D96" s="55"/>
      <c r="E96" s="55"/>
      <c r="F96" s="56"/>
      <c r="G96" s="57" t="s">
        <v>29</v>
      </c>
      <c r="H96" s="58"/>
      <c r="I96" s="58"/>
      <c r="J96" s="59"/>
      <c r="K96" s="60" t="str">
        <f>'Invetario de Tablas'!C17</f>
        <v>Persona que consume los productos apicola</v>
      </c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2"/>
      <c r="X96" s="21" t="s">
        <v>32</v>
      </c>
      <c r="Y96" s="22"/>
    </row>
    <row r="97" spans="1:25" ht="60" customHeight="1" x14ac:dyDescent="0.25">
      <c r="A97" s="23" t="s">
        <v>1</v>
      </c>
      <c r="B97" s="24" t="s">
        <v>33</v>
      </c>
      <c r="C97" s="52" t="s">
        <v>34</v>
      </c>
      <c r="D97" s="64"/>
      <c r="E97" s="64"/>
      <c r="F97" s="65"/>
      <c r="G97" s="52" t="s">
        <v>45</v>
      </c>
      <c r="H97" s="64"/>
      <c r="I97" s="64"/>
      <c r="J97" s="65"/>
      <c r="K97" s="52" t="s">
        <v>36</v>
      </c>
      <c r="L97" s="64"/>
      <c r="M97" s="64"/>
      <c r="N97" s="65"/>
      <c r="O97" s="52" t="s">
        <v>37</v>
      </c>
      <c r="P97" s="64"/>
      <c r="Q97" s="65"/>
      <c r="R97" s="52" t="s">
        <v>38</v>
      </c>
      <c r="S97" s="65"/>
      <c r="T97" s="52" t="s">
        <v>39</v>
      </c>
      <c r="U97" s="65"/>
      <c r="V97" s="52" t="s">
        <v>40</v>
      </c>
      <c r="W97" s="65"/>
      <c r="X97" s="52" t="s">
        <v>41</v>
      </c>
      <c r="Y97" s="53"/>
    </row>
    <row r="98" spans="1:25" ht="30" customHeight="1" x14ac:dyDescent="0.25">
      <c r="A98" s="37">
        <v>1</v>
      </c>
      <c r="B98" s="36" t="s">
        <v>170</v>
      </c>
      <c r="C98" s="46" t="s">
        <v>232</v>
      </c>
      <c r="D98" s="47"/>
      <c r="E98" s="47"/>
      <c r="F98" s="48"/>
      <c r="G98" s="67" t="s">
        <v>323</v>
      </c>
      <c r="H98" s="42"/>
      <c r="I98" s="42"/>
      <c r="J98" s="43"/>
      <c r="K98" s="49" t="s">
        <v>325</v>
      </c>
      <c r="L98" s="47"/>
      <c r="M98" s="47"/>
      <c r="N98" s="48"/>
      <c r="O98" s="46" t="s">
        <v>229</v>
      </c>
      <c r="P98" s="47"/>
      <c r="Q98" s="48"/>
      <c r="R98" s="49" t="s">
        <v>230</v>
      </c>
      <c r="S98" s="48"/>
      <c r="T98" s="46"/>
      <c r="U98" s="48"/>
      <c r="V98" s="49" t="s">
        <v>230</v>
      </c>
      <c r="W98" s="48"/>
      <c r="X98" s="50"/>
      <c r="Y98" s="51"/>
    </row>
    <row r="99" spans="1:25" ht="30" customHeight="1" x14ac:dyDescent="0.25">
      <c r="A99" s="37">
        <v>2</v>
      </c>
      <c r="B99" s="36" t="s">
        <v>146</v>
      </c>
      <c r="C99" s="46" t="s">
        <v>318</v>
      </c>
      <c r="D99" s="47"/>
      <c r="E99" s="47"/>
      <c r="F99" s="48"/>
      <c r="G99" s="67" t="s">
        <v>310</v>
      </c>
      <c r="H99" s="68"/>
      <c r="I99" s="68"/>
      <c r="J99" s="69"/>
      <c r="K99" s="46">
        <v>80</v>
      </c>
      <c r="L99" s="47"/>
      <c r="M99" s="47"/>
      <c r="N99" s="48"/>
      <c r="O99" s="46" t="s">
        <v>229</v>
      </c>
      <c r="P99" s="47"/>
      <c r="Q99" s="48"/>
      <c r="R99" s="46"/>
      <c r="S99" s="48"/>
      <c r="T99" s="46"/>
      <c r="U99" s="48"/>
      <c r="V99" s="46"/>
      <c r="W99" s="48"/>
      <c r="X99" s="50"/>
      <c r="Y99" s="51"/>
    </row>
    <row r="100" spans="1:25" ht="30" customHeight="1" x14ac:dyDescent="0.25">
      <c r="A100" s="37">
        <v>3</v>
      </c>
      <c r="B100" s="36" t="s">
        <v>152</v>
      </c>
      <c r="C100" s="46" t="s">
        <v>233</v>
      </c>
      <c r="D100" s="47"/>
      <c r="E100" s="47"/>
      <c r="F100" s="48"/>
      <c r="G100" s="67" t="s">
        <v>310</v>
      </c>
      <c r="H100" s="68"/>
      <c r="I100" s="68"/>
      <c r="J100" s="69"/>
      <c r="K100" s="46">
        <v>100</v>
      </c>
      <c r="L100" s="47"/>
      <c r="M100" s="47"/>
      <c r="N100" s="48"/>
      <c r="O100" s="46" t="s">
        <v>229</v>
      </c>
      <c r="P100" s="47"/>
      <c r="Q100" s="48"/>
      <c r="R100" s="46"/>
      <c r="S100" s="48"/>
      <c r="T100" s="46"/>
      <c r="U100" s="48"/>
      <c r="V100" s="49" t="s">
        <v>230</v>
      </c>
      <c r="W100" s="48"/>
      <c r="X100" s="50"/>
      <c r="Y100" s="51"/>
    </row>
    <row r="101" spans="1:25" ht="30" customHeight="1" x14ac:dyDescent="0.25">
      <c r="A101" s="37">
        <v>4</v>
      </c>
      <c r="B101" s="36" t="s">
        <v>151</v>
      </c>
      <c r="C101" s="46" t="s">
        <v>234</v>
      </c>
      <c r="D101" s="47"/>
      <c r="E101" s="47"/>
      <c r="F101" s="48"/>
      <c r="G101" s="67" t="s">
        <v>310</v>
      </c>
      <c r="H101" s="68"/>
      <c r="I101" s="68"/>
      <c r="J101" s="69"/>
      <c r="K101" s="46">
        <v>15</v>
      </c>
      <c r="L101" s="47"/>
      <c r="M101" s="47"/>
      <c r="N101" s="48"/>
      <c r="O101" s="46" t="s">
        <v>229</v>
      </c>
      <c r="P101" s="47"/>
      <c r="Q101" s="48"/>
      <c r="R101" s="46"/>
      <c r="S101" s="48"/>
      <c r="T101" s="46"/>
      <c r="U101" s="48"/>
      <c r="V101" s="49" t="s">
        <v>230</v>
      </c>
      <c r="W101" s="48"/>
      <c r="X101" s="50"/>
      <c r="Y101" s="51"/>
    </row>
    <row r="102" spans="1:25" ht="30" customHeight="1" x14ac:dyDescent="0.25">
      <c r="A102" s="37">
        <v>5</v>
      </c>
      <c r="B102" s="36" t="s">
        <v>215</v>
      </c>
      <c r="C102" s="46" t="s">
        <v>235</v>
      </c>
      <c r="D102" s="47"/>
      <c r="E102" s="47"/>
      <c r="F102" s="48"/>
      <c r="G102" s="67" t="s">
        <v>310</v>
      </c>
      <c r="H102" s="68"/>
      <c r="I102" s="68"/>
      <c r="J102" s="69"/>
      <c r="K102" s="46">
        <v>100</v>
      </c>
      <c r="L102" s="47"/>
      <c r="M102" s="47"/>
      <c r="N102" s="48"/>
      <c r="O102" s="46" t="s">
        <v>229</v>
      </c>
      <c r="P102" s="47"/>
      <c r="Q102" s="48"/>
      <c r="R102" s="46"/>
      <c r="S102" s="48"/>
      <c r="T102" s="46"/>
      <c r="U102" s="48"/>
      <c r="V102" s="46"/>
      <c r="W102" s="48"/>
      <c r="X102" s="50"/>
      <c r="Y102" s="51"/>
    </row>
    <row r="103" spans="1:25" ht="48" customHeight="1" thickBot="1" x14ac:dyDescent="0.3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spans="1:25" ht="54" customHeight="1" thickTop="1" x14ac:dyDescent="0.25">
      <c r="A104" s="20">
        <f>'Invetario de Tablas'!A18</f>
        <v>15</v>
      </c>
      <c r="B104" s="29" t="s">
        <v>28</v>
      </c>
      <c r="C104" s="54" t="str">
        <f>'Invetario de Tablas'!B18</f>
        <v>registro_clinico</v>
      </c>
      <c r="D104" s="55"/>
      <c r="E104" s="55"/>
      <c r="F104" s="56"/>
      <c r="G104" s="57" t="s">
        <v>29</v>
      </c>
      <c r="H104" s="58"/>
      <c r="I104" s="58"/>
      <c r="J104" s="59"/>
      <c r="K104" s="60" t="str">
        <f>'Invetario de Tablas'!C18</f>
        <v>Historial sanitario de un apiario</v>
      </c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2"/>
      <c r="X104" s="21" t="s">
        <v>32</v>
      </c>
      <c r="Y104" s="22"/>
    </row>
    <row r="105" spans="1:25" ht="60" customHeight="1" x14ac:dyDescent="0.25">
      <c r="A105" s="23" t="s">
        <v>1</v>
      </c>
      <c r="B105" s="24" t="s">
        <v>33</v>
      </c>
      <c r="C105" s="52" t="s">
        <v>34</v>
      </c>
      <c r="D105" s="64"/>
      <c r="E105" s="64"/>
      <c r="F105" s="65"/>
      <c r="G105" s="52" t="s">
        <v>45</v>
      </c>
      <c r="H105" s="64"/>
      <c r="I105" s="64"/>
      <c r="J105" s="65"/>
      <c r="K105" s="52" t="s">
        <v>36</v>
      </c>
      <c r="L105" s="64"/>
      <c r="M105" s="64"/>
      <c r="N105" s="65"/>
      <c r="O105" s="52" t="s">
        <v>37</v>
      </c>
      <c r="P105" s="64"/>
      <c r="Q105" s="65"/>
      <c r="R105" s="52" t="s">
        <v>38</v>
      </c>
      <c r="S105" s="65"/>
      <c r="T105" s="52" t="s">
        <v>39</v>
      </c>
      <c r="U105" s="65"/>
      <c r="V105" s="52" t="s">
        <v>40</v>
      </c>
      <c r="W105" s="65"/>
      <c r="X105" s="52" t="s">
        <v>41</v>
      </c>
      <c r="Y105" s="53"/>
    </row>
    <row r="106" spans="1:25" ht="30" customHeight="1" x14ac:dyDescent="0.25">
      <c r="A106" s="37">
        <v>1</v>
      </c>
      <c r="B106" s="36" t="s">
        <v>236</v>
      </c>
      <c r="C106" s="46" t="s">
        <v>237</v>
      </c>
      <c r="D106" s="47"/>
      <c r="E106" s="47"/>
      <c r="F106" s="48"/>
      <c r="G106" s="67" t="s">
        <v>323</v>
      </c>
      <c r="H106" s="42"/>
      <c r="I106" s="42"/>
      <c r="J106" s="43"/>
      <c r="K106" s="49" t="s">
        <v>325</v>
      </c>
      <c r="L106" s="47"/>
      <c r="M106" s="47"/>
      <c r="N106" s="48"/>
      <c r="O106" s="46" t="s">
        <v>229</v>
      </c>
      <c r="P106" s="47"/>
      <c r="Q106" s="48"/>
      <c r="R106" s="49" t="s">
        <v>230</v>
      </c>
      <c r="S106" s="48"/>
      <c r="T106" s="46"/>
      <c r="U106" s="48"/>
      <c r="V106" s="49" t="s">
        <v>230</v>
      </c>
      <c r="W106" s="48"/>
      <c r="X106" s="50"/>
      <c r="Y106" s="51"/>
    </row>
    <row r="107" spans="1:25" ht="30" customHeight="1" x14ac:dyDescent="0.25">
      <c r="A107" s="37">
        <v>2</v>
      </c>
      <c r="B107" s="36" t="s">
        <v>155</v>
      </c>
      <c r="C107" s="46" t="s">
        <v>238</v>
      </c>
      <c r="D107" s="47"/>
      <c r="E107" s="47"/>
      <c r="F107" s="48"/>
      <c r="G107" s="67" t="s">
        <v>55</v>
      </c>
      <c r="H107" s="68"/>
      <c r="I107" s="68"/>
      <c r="J107" s="69"/>
      <c r="K107" s="46"/>
      <c r="L107" s="47"/>
      <c r="M107" s="47"/>
      <c r="N107" s="48"/>
      <c r="O107" s="46" t="s">
        <v>229</v>
      </c>
      <c r="P107" s="47"/>
      <c r="Q107" s="48"/>
      <c r="R107" s="46"/>
      <c r="S107" s="48"/>
      <c r="T107" s="49" t="s">
        <v>230</v>
      </c>
      <c r="U107" s="48"/>
      <c r="V107" s="46"/>
      <c r="W107" s="48"/>
      <c r="X107" s="50"/>
      <c r="Y107" s="51"/>
    </row>
    <row r="108" spans="1:25" ht="30" customHeight="1" x14ac:dyDescent="0.25">
      <c r="A108" s="37">
        <v>3</v>
      </c>
      <c r="B108" s="36" t="s">
        <v>147</v>
      </c>
      <c r="C108" s="46" t="s">
        <v>239</v>
      </c>
      <c r="D108" s="47"/>
      <c r="E108" s="47"/>
      <c r="F108" s="48"/>
      <c r="G108" s="49" t="s">
        <v>310</v>
      </c>
      <c r="H108" s="47"/>
      <c r="I108" s="47"/>
      <c r="J108" s="48"/>
      <c r="K108" s="46" t="s">
        <v>324</v>
      </c>
      <c r="L108" s="47"/>
      <c r="M108" s="47"/>
      <c r="N108" s="48"/>
      <c r="O108" s="46" t="s">
        <v>231</v>
      </c>
      <c r="P108" s="47"/>
      <c r="Q108" s="48"/>
      <c r="R108" s="46"/>
      <c r="S108" s="48"/>
      <c r="T108" s="46"/>
      <c r="U108" s="48"/>
      <c r="V108" s="46"/>
      <c r="W108" s="48"/>
      <c r="X108" s="50"/>
      <c r="Y108" s="51"/>
    </row>
    <row r="109" spans="1:25" ht="30" customHeight="1" x14ac:dyDescent="0.25">
      <c r="A109" s="37">
        <v>4</v>
      </c>
      <c r="B109" s="36" t="s">
        <v>240</v>
      </c>
      <c r="C109" s="46" t="s">
        <v>241</v>
      </c>
      <c r="D109" s="47"/>
      <c r="E109" s="47"/>
      <c r="F109" s="48"/>
      <c r="G109" s="49" t="s">
        <v>66</v>
      </c>
      <c r="H109" s="47"/>
      <c r="I109" s="47"/>
      <c r="J109" s="48"/>
      <c r="K109" s="46"/>
      <c r="L109" s="47"/>
      <c r="M109" s="47"/>
      <c r="N109" s="48"/>
      <c r="O109" s="46" t="s">
        <v>231</v>
      </c>
      <c r="P109" s="47"/>
      <c r="Q109" s="48"/>
      <c r="R109" s="46"/>
      <c r="S109" s="48"/>
      <c r="T109" s="46"/>
      <c r="U109" s="48"/>
      <c r="V109" s="46"/>
      <c r="W109" s="48"/>
      <c r="X109" s="50"/>
      <c r="Y109" s="51"/>
    </row>
    <row r="110" spans="1:25" ht="30" customHeight="1" x14ac:dyDescent="0.25">
      <c r="A110" s="37">
        <v>5</v>
      </c>
      <c r="B110" s="36" t="s">
        <v>242</v>
      </c>
      <c r="C110" s="46" t="s">
        <v>243</v>
      </c>
      <c r="D110" s="47"/>
      <c r="E110" s="47"/>
      <c r="F110" s="48"/>
      <c r="G110" s="49" t="s">
        <v>310</v>
      </c>
      <c r="H110" s="47"/>
      <c r="I110" s="47"/>
      <c r="J110" s="48"/>
      <c r="K110" s="46" t="s">
        <v>324</v>
      </c>
      <c r="L110" s="47"/>
      <c r="M110" s="47"/>
      <c r="N110" s="48"/>
      <c r="O110" s="46" t="s">
        <v>231</v>
      </c>
      <c r="P110" s="47"/>
      <c r="Q110" s="48"/>
      <c r="R110" s="46"/>
      <c r="S110" s="48"/>
      <c r="T110" s="46"/>
      <c r="U110" s="48"/>
      <c r="V110" s="46"/>
      <c r="W110" s="48"/>
      <c r="X110" s="50"/>
      <c r="Y110" s="51"/>
    </row>
    <row r="111" spans="1:25" ht="15.75" customHeight="1" thickBot="1" x14ac:dyDescent="0.3"/>
    <row r="112" spans="1:25" ht="54" customHeight="1" thickTop="1" x14ac:dyDescent="0.25">
      <c r="A112" s="20">
        <f>'Invetario de Tablas'!A19</f>
        <v>16</v>
      </c>
      <c r="B112" s="29" t="s">
        <v>28</v>
      </c>
      <c r="C112" s="54" t="str">
        <f>'Invetario de Tablas'!B19</f>
        <v>intercambio</v>
      </c>
      <c r="D112" s="55"/>
      <c r="E112" s="55"/>
      <c r="F112" s="56"/>
      <c r="G112" s="57" t="s">
        <v>29</v>
      </c>
      <c r="H112" s="58"/>
      <c r="I112" s="58"/>
      <c r="J112" s="59"/>
      <c r="K112" s="60" t="str">
        <f>'Invetario de Tablas'!C19</f>
        <v>Intercambio de bienes acordado por dos apicultores</v>
      </c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2"/>
      <c r="X112" s="21" t="s">
        <v>32</v>
      </c>
      <c r="Y112" s="22"/>
    </row>
    <row r="113" spans="1:25" ht="60" customHeight="1" x14ac:dyDescent="0.25">
      <c r="A113" s="23" t="s">
        <v>1</v>
      </c>
      <c r="B113" s="24" t="s">
        <v>33</v>
      </c>
      <c r="C113" s="52" t="s">
        <v>34</v>
      </c>
      <c r="D113" s="64"/>
      <c r="E113" s="64"/>
      <c r="F113" s="65"/>
      <c r="G113" s="52" t="s">
        <v>45</v>
      </c>
      <c r="H113" s="64"/>
      <c r="I113" s="64"/>
      <c r="J113" s="65"/>
      <c r="K113" s="52" t="s">
        <v>36</v>
      </c>
      <c r="L113" s="64"/>
      <c r="M113" s="64"/>
      <c r="N113" s="65"/>
      <c r="O113" s="52" t="s">
        <v>37</v>
      </c>
      <c r="P113" s="64"/>
      <c r="Q113" s="65"/>
      <c r="R113" s="52" t="s">
        <v>38</v>
      </c>
      <c r="S113" s="65"/>
      <c r="T113" s="52" t="s">
        <v>39</v>
      </c>
      <c r="U113" s="65"/>
      <c r="V113" s="52" t="s">
        <v>40</v>
      </c>
      <c r="W113" s="65"/>
      <c r="X113" s="52" t="s">
        <v>41</v>
      </c>
      <c r="Y113" s="53"/>
    </row>
    <row r="114" spans="1:25" ht="30" customHeight="1" x14ac:dyDescent="0.25">
      <c r="A114" s="37">
        <v>1</v>
      </c>
      <c r="B114" s="36" t="s">
        <v>244</v>
      </c>
      <c r="C114" s="46" t="s">
        <v>245</v>
      </c>
      <c r="D114" s="47"/>
      <c r="E114" s="47"/>
      <c r="F114" s="48"/>
      <c r="G114" s="67" t="s">
        <v>323</v>
      </c>
      <c r="H114" s="42"/>
      <c r="I114" s="42"/>
      <c r="J114" s="43"/>
      <c r="K114" s="49" t="s">
        <v>325</v>
      </c>
      <c r="L114" s="47"/>
      <c r="M114" s="47"/>
      <c r="N114" s="48"/>
      <c r="O114" s="46" t="s">
        <v>229</v>
      </c>
      <c r="P114" s="47"/>
      <c r="Q114" s="48"/>
      <c r="R114" s="49" t="s">
        <v>230</v>
      </c>
      <c r="S114" s="48"/>
      <c r="T114" s="46"/>
      <c r="U114" s="48"/>
      <c r="V114" s="49" t="s">
        <v>230</v>
      </c>
      <c r="W114" s="48"/>
      <c r="X114" s="50"/>
      <c r="Y114" s="51"/>
    </row>
    <row r="115" spans="1:25" ht="30" customHeight="1" x14ac:dyDescent="0.25">
      <c r="A115" s="37">
        <v>2</v>
      </c>
      <c r="B115" s="36" t="s">
        <v>164</v>
      </c>
      <c r="C115" s="46" t="s">
        <v>246</v>
      </c>
      <c r="D115" s="47"/>
      <c r="E115" s="47"/>
      <c r="F115" s="48"/>
      <c r="G115" s="49" t="s">
        <v>66</v>
      </c>
      <c r="H115" s="47"/>
      <c r="I115" s="47"/>
      <c r="J115" s="48"/>
      <c r="K115" s="46"/>
      <c r="L115" s="47"/>
      <c r="M115" s="47"/>
      <c r="N115" s="48"/>
      <c r="O115" s="46" t="s">
        <v>229</v>
      </c>
      <c r="P115" s="47"/>
      <c r="Q115" s="48"/>
      <c r="R115" s="46"/>
      <c r="S115" s="48"/>
      <c r="T115" s="46"/>
      <c r="U115" s="48"/>
      <c r="V115" s="46"/>
      <c r="W115" s="48"/>
      <c r="X115" s="50"/>
      <c r="Y115" s="51"/>
    </row>
    <row r="116" spans="1:25" ht="30" customHeight="1" x14ac:dyDescent="0.25">
      <c r="A116" s="37">
        <v>3</v>
      </c>
      <c r="B116" s="36" t="s">
        <v>147</v>
      </c>
      <c r="C116" s="46" t="s">
        <v>247</v>
      </c>
      <c r="D116" s="47"/>
      <c r="E116" s="47"/>
      <c r="F116" s="48"/>
      <c r="G116" s="49" t="s">
        <v>310</v>
      </c>
      <c r="H116" s="47"/>
      <c r="I116" s="47"/>
      <c r="J116" s="48"/>
      <c r="K116" s="46" t="s">
        <v>324</v>
      </c>
      <c r="L116" s="47"/>
      <c r="M116" s="47"/>
      <c r="N116" s="48"/>
      <c r="O116" s="46" t="s">
        <v>231</v>
      </c>
      <c r="P116" s="47"/>
      <c r="Q116" s="48"/>
      <c r="R116" s="46"/>
      <c r="S116" s="48"/>
      <c r="T116" s="46"/>
      <c r="U116" s="48"/>
      <c r="V116" s="46"/>
      <c r="W116" s="48"/>
      <c r="X116" s="50"/>
      <c r="Y116" s="51"/>
    </row>
    <row r="117" spans="1:25" ht="30" customHeight="1" x14ac:dyDescent="0.25">
      <c r="A117" s="37">
        <v>4</v>
      </c>
      <c r="B117" s="36" t="s">
        <v>248</v>
      </c>
      <c r="C117" s="46" t="s">
        <v>249</v>
      </c>
      <c r="D117" s="47"/>
      <c r="E117" s="47"/>
      <c r="F117" s="48"/>
      <c r="G117" s="49" t="s">
        <v>310</v>
      </c>
      <c r="H117" s="47"/>
      <c r="I117" s="47"/>
      <c r="J117" s="48"/>
      <c r="K117" s="46">
        <v>30</v>
      </c>
      <c r="L117" s="47"/>
      <c r="M117" s="47"/>
      <c r="N117" s="48"/>
      <c r="O117" s="46" t="s">
        <v>231</v>
      </c>
      <c r="P117" s="47"/>
      <c r="Q117" s="48"/>
      <c r="R117" s="46"/>
      <c r="S117" s="48"/>
      <c r="T117" s="46"/>
      <c r="U117" s="48"/>
      <c r="V117" s="46"/>
      <c r="W117" s="48"/>
      <c r="X117" s="50" t="s">
        <v>314</v>
      </c>
      <c r="Y117" s="51"/>
    </row>
    <row r="118" spans="1:25" ht="30" customHeight="1" x14ac:dyDescent="0.25">
      <c r="A118" s="37">
        <v>5</v>
      </c>
      <c r="B118" s="36" t="s">
        <v>250</v>
      </c>
      <c r="C118" s="46" t="s">
        <v>251</v>
      </c>
      <c r="D118" s="47"/>
      <c r="E118" s="47"/>
      <c r="F118" s="48"/>
      <c r="G118" s="49" t="s">
        <v>310</v>
      </c>
      <c r="H118" s="47"/>
      <c r="I118" s="47"/>
      <c r="J118" s="48"/>
      <c r="K118" s="46">
        <v>100</v>
      </c>
      <c r="L118" s="47"/>
      <c r="M118" s="47"/>
      <c r="N118" s="48"/>
      <c r="O118" s="46" t="s">
        <v>231</v>
      </c>
      <c r="P118" s="47"/>
      <c r="Q118" s="48"/>
      <c r="R118" s="46"/>
      <c r="S118" s="48"/>
      <c r="T118" s="46"/>
      <c r="U118" s="48"/>
      <c r="V118" s="46"/>
      <c r="W118" s="48"/>
      <c r="X118" s="50"/>
      <c r="Y118" s="51"/>
    </row>
    <row r="119" spans="1:25" ht="48" customHeight="1" thickBot="1" x14ac:dyDescent="0.3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 spans="1:25" ht="54" customHeight="1" thickTop="1" x14ac:dyDescent="0.25">
      <c r="A120" s="20">
        <f>'Invetario de Tablas'!A20</f>
        <v>17</v>
      </c>
      <c r="B120" s="29" t="s">
        <v>28</v>
      </c>
      <c r="C120" s="54" t="str">
        <f>'Invetario de Tablas'!B20</f>
        <v>detalle_intercambio</v>
      </c>
      <c r="D120" s="55"/>
      <c r="E120" s="55"/>
      <c r="F120" s="56"/>
      <c r="G120" s="57" t="s">
        <v>29</v>
      </c>
      <c r="H120" s="58"/>
      <c r="I120" s="58"/>
      <c r="J120" s="59"/>
      <c r="K120" s="60" t="str">
        <f>'Invetario de Tablas'!C20</f>
        <v>Detalle del intercambio de vienes que se realizo</v>
      </c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2"/>
      <c r="X120" s="21" t="s">
        <v>32</v>
      </c>
      <c r="Y120" s="22"/>
    </row>
    <row r="121" spans="1:25" ht="60" customHeight="1" x14ac:dyDescent="0.25">
      <c r="A121" s="23" t="s">
        <v>1</v>
      </c>
      <c r="B121" s="24" t="s">
        <v>33</v>
      </c>
      <c r="C121" s="52" t="s">
        <v>34</v>
      </c>
      <c r="D121" s="64"/>
      <c r="E121" s="64"/>
      <c r="F121" s="65"/>
      <c r="G121" s="52" t="s">
        <v>45</v>
      </c>
      <c r="H121" s="64"/>
      <c r="I121" s="64"/>
      <c r="J121" s="65"/>
      <c r="K121" s="52" t="s">
        <v>36</v>
      </c>
      <c r="L121" s="64"/>
      <c r="M121" s="64"/>
      <c r="N121" s="65"/>
      <c r="O121" s="52" t="s">
        <v>37</v>
      </c>
      <c r="P121" s="64"/>
      <c r="Q121" s="65"/>
      <c r="R121" s="52" t="s">
        <v>38</v>
      </c>
      <c r="S121" s="65"/>
      <c r="T121" s="52" t="s">
        <v>39</v>
      </c>
      <c r="U121" s="65"/>
      <c r="V121" s="52" t="s">
        <v>40</v>
      </c>
      <c r="W121" s="65"/>
      <c r="X121" s="52" t="s">
        <v>41</v>
      </c>
      <c r="Y121" s="53"/>
    </row>
    <row r="122" spans="1:25" ht="30" customHeight="1" x14ac:dyDescent="0.25">
      <c r="A122" s="37">
        <v>1</v>
      </c>
      <c r="B122" s="36" t="s">
        <v>252</v>
      </c>
      <c r="C122" s="46" t="s">
        <v>253</v>
      </c>
      <c r="D122" s="47"/>
      <c r="E122" s="47"/>
      <c r="F122" s="48"/>
      <c r="G122" s="67" t="s">
        <v>323</v>
      </c>
      <c r="H122" s="42"/>
      <c r="I122" s="42"/>
      <c r="J122" s="43"/>
      <c r="K122" s="49" t="s">
        <v>325</v>
      </c>
      <c r="L122" s="47"/>
      <c r="M122" s="47"/>
      <c r="N122" s="48"/>
      <c r="O122" s="46" t="s">
        <v>229</v>
      </c>
      <c r="P122" s="47"/>
      <c r="Q122" s="48"/>
      <c r="R122" s="49" t="s">
        <v>230</v>
      </c>
      <c r="S122" s="48"/>
      <c r="T122" s="46"/>
      <c r="U122" s="48"/>
      <c r="V122" s="49" t="s">
        <v>230</v>
      </c>
      <c r="W122" s="48"/>
      <c r="X122" s="50"/>
      <c r="Y122" s="51"/>
    </row>
    <row r="123" spans="1:25" ht="30" customHeight="1" x14ac:dyDescent="0.25">
      <c r="A123" s="37">
        <v>2</v>
      </c>
      <c r="B123" s="36" t="s">
        <v>244</v>
      </c>
      <c r="C123" s="46" t="s">
        <v>254</v>
      </c>
      <c r="D123" s="47"/>
      <c r="E123" s="47"/>
      <c r="F123" s="48"/>
      <c r="G123" s="67" t="s">
        <v>55</v>
      </c>
      <c r="H123" s="68"/>
      <c r="I123" s="68"/>
      <c r="J123" s="69"/>
      <c r="K123" s="46"/>
      <c r="L123" s="47"/>
      <c r="M123" s="47"/>
      <c r="N123" s="48"/>
      <c r="O123" s="46" t="s">
        <v>229</v>
      </c>
      <c r="P123" s="47"/>
      <c r="Q123" s="48"/>
      <c r="R123" s="46"/>
      <c r="S123" s="48"/>
      <c r="T123" s="49" t="s">
        <v>230</v>
      </c>
      <c r="U123" s="48"/>
      <c r="V123" s="46"/>
      <c r="W123" s="48"/>
      <c r="X123" s="50"/>
      <c r="Y123" s="51"/>
    </row>
    <row r="124" spans="1:25" ht="30" customHeight="1" x14ac:dyDescent="0.25">
      <c r="A124" s="37">
        <v>3</v>
      </c>
      <c r="B124" s="36" t="s">
        <v>89</v>
      </c>
      <c r="C124" s="46" t="s">
        <v>255</v>
      </c>
      <c r="D124" s="47"/>
      <c r="E124" s="47"/>
      <c r="F124" s="48"/>
      <c r="G124" s="49" t="s">
        <v>310</v>
      </c>
      <c r="H124" s="47"/>
      <c r="I124" s="47"/>
      <c r="J124" s="48"/>
      <c r="K124" s="46">
        <v>50</v>
      </c>
      <c r="L124" s="47"/>
      <c r="M124" s="47"/>
      <c r="N124" s="48"/>
      <c r="O124" s="46" t="s">
        <v>229</v>
      </c>
      <c r="P124" s="47"/>
      <c r="Q124" s="48"/>
      <c r="R124" s="46"/>
      <c r="S124" s="48"/>
      <c r="T124" s="46"/>
      <c r="U124" s="48"/>
      <c r="V124" s="46"/>
      <c r="W124" s="48"/>
      <c r="X124" s="50"/>
      <c r="Y124" s="51"/>
    </row>
    <row r="125" spans="1:25" ht="30" customHeight="1" x14ac:dyDescent="0.25">
      <c r="A125" s="37">
        <v>4</v>
      </c>
      <c r="B125" s="36" t="s">
        <v>176</v>
      </c>
      <c r="C125" s="46" t="s">
        <v>256</v>
      </c>
      <c r="D125" s="47"/>
      <c r="E125" s="47"/>
      <c r="F125" s="48"/>
      <c r="G125" s="67" t="s">
        <v>55</v>
      </c>
      <c r="H125" s="68"/>
      <c r="I125" s="68"/>
      <c r="J125" s="69"/>
      <c r="K125" s="46">
        <v>11</v>
      </c>
      <c r="L125" s="47"/>
      <c r="M125" s="47"/>
      <c r="N125" s="48"/>
      <c r="O125" s="46" t="s">
        <v>229</v>
      </c>
      <c r="P125" s="47"/>
      <c r="Q125" s="48"/>
      <c r="R125" s="46"/>
      <c r="S125" s="48"/>
      <c r="T125" s="46"/>
      <c r="U125" s="48"/>
      <c r="V125" s="46"/>
      <c r="W125" s="48"/>
      <c r="X125" s="50"/>
      <c r="Y125" s="51"/>
    </row>
    <row r="126" spans="1:25" ht="48" customHeight="1" thickBot="1" x14ac:dyDescent="0.3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 spans="1:25" ht="54" customHeight="1" thickTop="1" x14ac:dyDescent="0.25">
      <c r="A127" s="20">
        <f>'Invetario de Tablas'!A21</f>
        <v>18</v>
      </c>
      <c r="B127" s="29" t="s">
        <v>28</v>
      </c>
      <c r="C127" s="54" t="str">
        <f>'Invetario de Tablas'!B21</f>
        <v>mercado</v>
      </c>
      <c r="D127" s="55"/>
      <c r="E127" s="55"/>
      <c r="F127" s="56"/>
      <c r="G127" s="57" t="s">
        <v>29</v>
      </c>
      <c r="H127" s="58"/>
      <c r="I127" s="58"/>
      <c r="J127" s="59"/>
      <c r="K127" s="60" t="str">
        <f>'Invetario de Tablas'!C21</f>
        <v>Mercado o lugar fisico/virtual donde se hacen las compra y ventas de los productos apicolas</v>
      </c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2"/>
      <c r="X127" s="21" t="s">
        <v>32</v>
      </c>
      <c r="Y127" s="22"/>
    </row>
    <row r="128" spans="1:25" ht="60" customHeight="1" x14ac:dyDescent="0.25">
      <c r="A128" s="23" t="s">
        <v>1</v>
      </c>
      <c r="B128" s="24" t="s">
        <v>33</v>
      </c>
      <c r="C128" s="52" t="s">
        <v>34</v>
      </c>
      <c r="D128" s="64"/>
      <c r="E128" s="64"/>
      <c r="F128" s="65"/>
      <c r="G128" s="52" t="s">
        <v>45</v>
      </c>
      <c r="H128" s="64"/>
      <c r="I128" s="64"/>
      <c r="J128" s="65"/>
      <c r="K128" s="52" t="s">
        <v>36</v>
      </c>
      <c r="L128" s="64"/>
      <c r="M128" s="64"/>
      <c r="N128" s="65"/>
      <c r="O128" s="52" t="s">
        <v>37</v>
      </c>
      <c r="P128" s="64"/>
      <c r="Q128" s="65"/>
      <c r="R128" s="52" t="s">
        <v>38</v>
      </c>
      <c r="S128" s="65"/>
      <c r="T128" s="52" t="s">
        <v>39</v>
      </c>
      <c r="U128" s="65"/>
      <c r="V128" s="52" t="s">
        <v>40</v>
      </c>
      <c r="W128" s="65"/>
      <c r="X128" s="52" t="s">
        <v>41</v>
      </c>
      <c r="Y128" s="53"/>
    </row>
    <row r="129" spans="1:25" ht="30" customHeight="1" x14ac:dyDescent="0.25">
      <c r="A129" s="37">
        <v>1</v>
      </c>
      <c r="B129" s="36" t="s">
        <v>257</v>
      </c>
      <c r="C129" s="46" t="s">
        <v>258</v>
      </c>
      <c r="D129" s="47"/>
      <c r="E129" s="47"/>
      <c r="F129" s="48"/>
      <c r="G129" s="67" t="s">
        <v>323</v>
      </c>
      <c r="H129" s="42"/>
      <c r="I129" s="42"/>
      <c r="J129" s="43"/>
      <c r="K129" s="49" t="s">
        <v>325</v>
      </c>
      <c r="L129" s="47"/>
      <c r="M129" s="47"/>
      <c r="N129" s="48"/>
      <c r="O129" s="46" t="s">
        <v>229</v>
      </c>
      <c r="P129" s="47"/>
      <c r="Q129" s="48"/>
      <c r="R129" s="49" t="s">
        <v>230</v>
      </c>
      <c r="S129" s="48"/>
      <c r="T129" s="46"/>
      <c r="U129" s="48"/>
      <c r="V129" s="49" t="s">
        <v>230</v>
      </c>
      <c r="W129" s="48"/>
      <c r="X129" s="50"/>
      <c r="Y129" s="51"/>
    </row>
    <row r="130" spans="1:25" ht="30" customHeight="1" x14ac:dyDescent="0.25">
      <c r="A130" s="37">
        <v>2</v>
      </c>
      <c r="B130" s="36" t="s">
        <v>146</v>
      </c>
      <c r="C130" s="46" t="s">
        <v>259</v>
      </c>
      <c r="D130" s="47"/>
      <c r="E130" s="47"/>
      <c r="F130" s="48"/>
      <c r="G130" s="49" t="s">
        <v>310</v>
      </c>
      <c r="H130" s="47"/>
      <c r="I130" s="47"/>
      <c r="J130" s="48"/>
      <c r="K130" s="46">
        <v>100</v>
      </c>
      <c r="L130" s="47"/>
      <c r="M130" s="47"/>
      <c r="N130" s="48"/>
      <c r="O130" s="46" t="s">
        <v>229</v>
      </c>
      <c r="P130" s="47"/>
      <c r="Q130" s="48"/>
      <c r="R130" s="46"/>
      <c r="S130" s="48"/>
      <c r="T130" s="46"/>
      <c r="U130" s="48"/>
      <c r="V130" s="46"/>
      <c r="W130" s="48"/>
      <c r="X130" s="50"/>
      <c r="Y130" s="51"/>
    </row>
    <row r="131" spans="1:25" ht="30" customHeight="1" x14ac:dyDescent="0.25">
      <c r="A131" s="37">
        <v>3</v>
      </c>
      <c r="B131" s="36" t="s">
        <v>147</v>
      </c>
      <c r="C131" s="46" t="s">
        <v>260</v>
      </c>
      <c r="D131" s="47"/>
      <c r="E131" s="47"/>
      <c r="F131" s="48"/>
      <c r="G131" s="49" t="s">
        <v>310</v>
      </c>
      <c r="H131" s="76"/>
      <c r="I131" s="76"/>
      <c r="J131" s="77"/>
      <c r="K131" s="46" t="s">
        <v>324</v>
      </c>
      <c r="L131" s="47"/>
      <c r="M131" s="47"/>
      <c r="N131" s="48"/>
      <c r="O131" s="46" t="s">
        <v>231</v>
      </c>
      <c r="P131" s="47"/>
      <c r="Q131" s="48"/>
      <c r="R131" s="46"/>
      <c r="S131" s="48"/>
      <c r="T131" s="46"/>
      <c r="U131" s="48"/>
      <c r="V131" s="46"/>
      <c r="W131" s="48"/>
      <c r="X131" s="50"/>
      <c r="Y131" s="51"/>
    </row>
    <row r="132" spans="1:25" ht="30" customHeight="1" x14ac:dyDescent="0.25">
      <c r="A132" s="37">
        <v>4</v>
      </c>
      <c r="B132" s="36" t="s">
        <v>261</v>
      </c>
      <c r="C132" s="46" t="s">
        <v>262</v>
      </c>
      <c r="D132" s="47"/>
      <c r="E132" s="47"/>
      <c r="F132" s="48"/>
      <c r="G132" s="49" t="s">
        <v>310</v>
      </c>
      <c r="H132" s="47"/>
      <c r="I132" s="47"/>
      <c r="J132" s="48"/>
      <c r="K132" s="46">
        <v>100</v>
      </c>
      <c r="L132" s="47"/>
      <c r="M132" s="47"/>
      <c r="N132" s="48"/>
      <c r="O132" s="46" t="s">
        <v>231</v>
      </c>
      <c r="P132" s="47"/>
      <c r="Q132" s="48"/>
      <c r="R132" s="46"/>
      <c r="S132" s="48"/>
      <c r="T132" s="46"/>
      <c r="U132" s="48"/>
      <c r="V132" s="46"/>
      <c r="W132" s="48"/>
      <c r="X132" s="50"/>
      <c r="Y132" s="51"/>
    </row>
    <row r="133" spans="1:25" ht="48" customHeight="1" thickBot="1" x14ac:dyDescent="0.3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 spans="1:25" ht="54" customHeight="1" thickTop="1" x14ac:dyDescent="0.25">
      <c r="A134" s="20">
        <f>'Invetario de Tablas'!A22</f>
        <v>19</v>
      </c>
      <c r="B134" s="29" t="s">
        <v>28</v>
      </c>
      <c r="C134" s="54" t="str">
        <f>'Invetario de Tablas'!B22</f>
        <v>gestion</v>
      </c>
      <c r="D134" s="55"/>
      <c r="E134" s="55"/>
      <c r="F134" s="56"/>
      <c r="G134" s="57" t="s">
        <v>29</v>
      </c>
      <c r="H134" s="58"/>
      <c r="I134" s="58"/>
      <c r="J134" s="59"/>
      <c r="K134" s="60" t="str">
        <f>'Invetario de Tablas'!C22</f>
        <v>Registro administrativo</v>
      </c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2"/>
      <c r="X134" s="21" t="s">
        <v>32</v>
      </c>
      <c r="Y134" s="22"/>
    </row>
    <row r="135" spans="1:25" ht="60" customHeight="1" x14ac:dyDescent="0.25">
      <c r="A135" s="23" t="s">
        <v>1</v>
      </c>
      <c r="B135" s="24" t="s">
        <v>33</v>
      </c>
      <c r="C135" s="52" t="s">
        <v>34</v>
      </c>
      <c r="D135" s="64"/>
      <c r="E135" s="64"/>
      <c r="F135" s="65"/>
      <c r="G135" s="52" t="s">
        <v>45</v>
      </c>
      <c r="H135" s="64"/>
      <c r="I135" s="64"/>
      <c r="J135" s="65"/>
      <c r="K135" s="52" t="s">
        <v>36</v>
      </c>
      <c r="L135" s="64"/>
      <c r="M135" s="64"/>
      <c r="N135" s="65"/>
      <c r="O135" s="52" t="s">
        <v>37</v>
      </c>
      <c r="P135" s="64"/>
      <c r="Q135" s="65"/>
      <c r="R135" s="52" t="s">
        <v>38</v>
      </c>
      <c r="S135" s="65"/>
      <c r="T135" s="52" t="s">
        <v>39</v>
      </c>
      <c r="U135" s="65"/>
      <c r="V135" s="52" t="s">
        <v>40</v>
      </c>
      <c r="W135" s="65"/>
      <c r="X135" s="52" t="s">
        <v>41</v>
      </c>
      <c r="Y135" s="53"/>
    </row>
    <row r="136" spans="1:25" ht="30" customHeight="1" x14ac:dyDescent="0.3">
      <c r="A136" s="37">
        <v>1</v>
      </c>
      <c r="B136" s="36" t="s">
        <v>263</v>
      </c>
      <c r="C136" s="46" t="s">
        <v>264</v>
      </c>
      <c r="D136" s="47"/>
      <c r="E136" s="47"/>
      <c r="F136" s="48"/>
      <c r="G136" s="67" t="s">
        <v>323</v>
      </c>
      <c r="H136" s="42"/>
      <c r="I136" s="42"/>
      <c r="J136" s="43"/>
      <c r="K136" s="49" t="s">
        <v>325</v>
      </c>
      <c r="L136" s="47"/>
      <c r="M136" s="47"/>
      <c r="N136" s="48"/>
      <c r="O136" s="46" t="s">
        <v>229</v>
      </c>
      <c r="P136" s="47"/>
      <c r="Q136" s="48"/>
      <c r="R136" s="66" t="s">
        <v>230</v>
      </c>
      <c r="S136" s="48"/>
      <c r="T136" s="46"/>
      <c r="U136" s="48"/>
      <c r="V136" s="66" t="s">
        <v>230</v>
      </c>
      <c r="W136" s="48"/>
      <c r="X136" s="50"/>
      <c r="Y136" s="51"/>
    </row>
    <row r="137" spans="1:25" ht="30" customHeight="1" x14ac:dyDescent="0.3">
      <c r="A137" s="37">
        <v>2</v>
      </c>
      <c r="B137" s="36" t="s">
        <v>145</v>
      </c>
      <c r="C137" s="46" t="s">
        <v>265</v>
      </c>
      <c r="D137" s="47"/>
      <c r="E137" s="47"/>
      <c r="F137" s="48"/>
      <c r="G137" s="67" t="s">
        <v>55</v>
      </c>
      <c r="H137" s="68"/>
      <c r="I137" s="68"/>
      <c r="J137" s="69"/>
      <c r="K137" s="46"/>
      <c r="L137" s="47"/>
      <c r="M137" s="47"/>
      <c r="N137" s="48"/>
      <c r="O137" s="46" t="s">
        <v>229</v>
      </c>
      <c r="P137" s="47"/>
      <c r="Q137" s="48"/>
      <c r="R137" s="46"/>
      <c r="S137" s="48"/>
      <c r="T137" s="66" t="s">
        <v>230</v>
      </c>
      <c r="U137" s="48"/>
      <c r="V137" s="46"/>
      <c r="W137" s="48"/>
      <c r="X137" s="50"/>
      <c r="Y137" s="51"/>
    </row>
    <row r="138" spans="1:25" ht="30" customHeight="1" x14ac:dyDescent="0.25">
      <c r="A138" s="37">
        <v>3</v>
      </c>
      <c r="B138" s="36" t="s">
        <v>147</v>
      </c>
      <c r="C138" s="46" t="s">
        <v>266</v>
      </c>
      <c r="D138" s="47"/>
      <c r="E138" s="47"/>
      <c r="F138" s="48"/>
      <c r="G138" s="49" t="s">
        <v>310</v>
      </c>
      <c r="H138" s="47"/>
      <c r="I138" s="47"/>
      <c r="J138" s="48"/>
      <c r="K138" s="46" t="s">
        <v>324</v>
      </c>
      <c r="L138" s="47"/>
      <c r="M138" s="47"/>
      <c r="N138" s="48"/>
      <c r="O138" s="46" t="s">
        <v>231</v>
      </c>
      <c r="P138" s="47"/>
      <c r="Q138" s="48"/>
      <c r="R138" s="46"/>
      <c r="S138" s="48"/>
      <c r="T138" s="46"/>
      <c r="U138" s="48"/>
      <c r="V138" s="46"/>
      <c r="W138" s="48"/>
      <c r="X138" s="50"/>
      <c r="Y138" s="51"/>
    </row>
    <row r="139" spans="1:25" ht="30" customHeight="1" x14ac:dyDescent="0.25">
      <c r="A139" s="37">
        <v>4</v>
      </c>
      <c r="B139" s="36" t="s">
        <v>164</v>
      </c>
      <c r="C139" s="46" t="s">
        <v>267</v>
      </c>
      <c r="D139" s="47"/>
      <c r="E139" s="47"/>
      <c r="F139" s="48"/>
      <c r="G139" s="46" t="s">
        <v>66</v>
      </c>
      <c r="H139" s="47"/>
      <c r="I139" s="47"/>
      <c r="J139" s="48"/>
      <c r="K139" s="46"/>
      <c r="L139" s="47"/>
      <c r="M139" s="47"/>
      <c r="N139" s="48"/>
      <c r="O139" s="46" t="s">
        <v>229</v>
      </c>
      <c r="P139" s="47"/>
      <c r="Q139" s="48"/>
      <c r="R139" s="46"/>
      <c r="S139" s="48"/>
      <c r="T139" s="46"/>
      <c r="U139" s="48"/>
      <c r="V139" s="46"/>
      <c r="W139" s="48"/>
      <c r="X139" s="50"/>
      <c r="Y139" s="51"/>
    </row>
    <row r="140" spans="1:25" ht="30" customHeight="1" x14ac:dyDescent="0.25">
      <c r="A140" s="37">
        <v>5</v>
      </c>
      <c r="B140" s="36" t="s">
        <v>268</v>
      </c>
      <c r="C140" s="46" t="s">
        <v>200</v>
      </c>
      <c r="D140" s="47"/>
      <c r="E140" s="47"/>
      <c r="F140" s="48"/>
      <c r="G140" s="46" t="s">
        <v>310</v>
      </c>
      <c r="H140" s="47"/>
      <c r="I140" s="47"/>
      <c r="J140" s="48"/>
      <c r="K140" s="46">
        <v>50</v>
      </c>
      <c r="L140" s="47"/>
      <c r="M140" s="47"/>
      <c r="N140" s="48"/>
      <c r="O140" s="46" t="s">
        <v>229</v>
      </c>
      <c r="P140" s="47"/>
      <c r="Q140" s="48"/>
      <c r="R140" s="46"/>
      <c r="S140" s="48"/>
      <c r="T140" s="46"/>
      <c r="U140" s="48"/>
      <c r="V140" s="46"/>
      <c r="W140" s="48"/>
      <c r="X140" s="50"/>
      <c r="Y140" s="51"/>
    </row>
    <row r="141" spans="1:25" ht="48" customHeight="1" thickBot="1" x14ac:dyDescent="0.3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 spans="1:25" ht="54" customHeight="1" thickTop="1" x14ac:dyDescent="0.25">
      <c r="A142" s="20">
        <f>'Invetario de Tablas'!A23</f>
        <v>20</v>
      </c>
      <c r="B142" s="29" t="s">
        <v>28</v>
      </c>
      <c r="C142" s="54" t="str">
        <f>'Invetario de Tablas'!B23</f>
        <v>empleo</v>
      </c>
      <c r="D142" s="55"/>
      <c r="E142" s="55"/>
      <c r="F142" s="56"/>
      <c r="G142" s="57" t="s">
        <v>29</v>
      </c>
      <c r="H142" s="58"/>
      <c r="I142" s="58"/>
      <c r="J142" s="59"/>
      <c r="K142" s="60" t="str">
        <f>'Invetario de Tablas'!C23</f>
        <v>Publicación de oportunidades laborales</v>
      </c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2"/>
      <c r="X142" s="21" t="s">
        <v>32</v>
      </c>
      <c r="Y142" s="22"/>
    </row>
    <row r="143" spans="1:25" ht="60" customHeight="1" x14ac:dyDescent="0.25">
      <c r="A143" s="23" t="s">
        <v>1</v>
      </c>
      <c r="B143" s="24" t="s">
        <v>33</v>
      </c>
      <c r="C143" s="52" t="s">
        <v>34</v>
      </c>
      <c r="D143" s="64"/>
      <c r="E143" s="64"/>
      <c r="F143" s="65"/>
      <c r="G143" s="52" t="s">
        <v>45</v>
      </c>
      <c r="H143" s="64"/>
      <c r="I143" s="64"/>
      <c r="J143" s="65"/>
      <c r="K143" s="52" t="s">
        <v>36</v>
      </c>
      <c r="L143" s="64"/>
      <c r="M143" s="64"/>
      <c r="N143" s="65"/>
      <c r="O143" s="52" t="s">
        <v>37</v>
      </c>
      <c r="P143" s="64"/>
      <c r="Q143" s="65"/>
      <c r="R143" s="52" t="s">
        <v>38</v>
      </c>
      <c r="S143" s="65"/>
      <c r="T143" s="52" t="s">
        <v>39</v>
      </c>
      <c r="U143" s="65"/>
      <c r="V143" s="52" t="s">
        <v>40</v>
      </c>
      <c r="W143" s="65"/>
      <c r="X143" s="52" t="s">
        <v>41</v>
      </c>
      <c r="Y143" s="53"/>
    </row>
    <row r="144" spans="1:25" ht="30" customHeight="1" x14ac:dyDescent="0.3">
      <c r="A144" s="37">
        <v>1</v>
      </c>
      <c r="B144" s="36" t="s">
        <v>269</v>
      </c>
      <c r="C144" s="46" t="s">
        <v>270</v>
      </c>
      <c r="D144" s="47"/>
      <c r="E144" s="47"/>
      <c r="F144" s="48"/>
      <c r="G144" s="67" t="s">
        <v>323</v>
      </c>
      <c r="H144" s="42"/>
      <c r="I144" s="42"/>
      <c r="J144" s="43"/>
      <c r="K144" s="49" t="s">
        <v>325</v>
      </c>
      <c r="L144" s="47"/>
      <c r="M144" s="47"/>
      <c r="N144" s="48"/>
      <c r="O144" s="46" t="s">
        <v>229</v>
      </c>
      <c r="P144" s="47"/>
      <c r="Q144" s="48"/>
      <c r="R144" s="66" t="s">
        <v>230</v>
      </c>
      <c r="S144" s="48"/>
      <c r="T144" s="46"/>
      <c r="U144" s="48"/>
      <c r="V144" s="66" t="s">
        <v>230</v>
      </c>
      <c r="W144" s="48"/>
      <c r="X144" s="50"/>
      <c r="Y144" s="51"/>
    </row>
    <row r="145" spans="1:25" ht="30" customHeight="1" x14ac:dyDescent="0.3">
      <c r="A145" s="37">
        <v>2</v>
      </c>
      <c r="B145" s="36" t="s">
        <v>145</v>
      </c>
      <c r="C145" s="46" t="s">
        <v>271</v>
      </c>
      <c r="D145" s="47"/>
      <c r="E145" s="47"/>
      <c r="F145" s="48"/>
      <c r="G145" s="67" t="s">
        <v>55</v>
      </c>
      <c r="H145" s="68"/>
      <c r="I145" s="68"/>
      <c r="J145" s="69"/>
      <c r="K145" s="46"/>
      <c r="L145" s="47"/>
      <c r="M145" s="47"/>
      <c r="N145" s="48"/>
      <c r="O145" s="46" t="s">
        <v>229</v>
      </c>
      <c r="P145" s="47"/>
      <c r="Q145" s="48"/>
      <c r="R145" s="46"/>
      <c r="S145" s="48"/>
      <c r="T145" s="66" t="s">
        <v>230</v>
      </c>
      <c r="U145" s="48"/>
      <c r="V145" s="46"/>
      <c r="W145" s="48"/>
      <c r="X145" s="50"/>
      <c r="Y145" s="51"/>
    </row>
    <row r="146" spans="1:25" ht="30" customHeight="1" x14ac:dyDescent="0.25">
      <c r="A146" s="37">
        <v>3</v>
      </c>
      <c r="B146" s="36" t="s">
        <v>272</v>
      </c>
      <c r="C146" s="46" t="s">
        <v>273</v>
      </c>
      <c r="D146" s="47"/>
      <c r="E146" s="47"/>
      <c r="F146" s="48"/>
      <c r="G146" s="49" t="s">
        <v>310</v>
      </c>
      <c r="H146" s="47"/>
      <c r="I146" s="47"/>
      <c r="J146" s="48"/>
      <c r="K146" s="46">
        <v>100</v>
      </c>
      <c r="L146" s="47"/>
      <c r="M146" s="47"/>
      <c r="N146" s="48"/>
      <c r="O146" s="46" t="s">
        <v>229</v>
      </c>
      <c r="P146" s="47"/>
      <c r="Q146" s="48"/>
      <c r="R146" s="46"/>
      <c r="S146" s="48"/>
      <c r="T146" s="46"/>
      <c r="U146" s="48"/>
      <c r="V146" s="46"/>
      <c r="W146" s="48"/>
      <c r="X146" s="50"/>
      <c r="Y146" s="51"/>
    </row>
    <row r="147" spans="1:25" ht="30" customHeight="1" x14ac:dyDescent="0.25">
      <c r="A147" s="37">
        <v>4</v>
      </c>
      <c r="B147" s="36" t="s">
        <v>147</v>
      </c>
      <c r="C147" s="46" t="s">
        <v>274</v>
      </c>
      <c r="D147" s="47"/>
      <c r="E147" s="47"/>
      <c r="F147" s="48"/>
      <c r="G147" s="49" t="s">
        <v>310</v>
      </c>
      <c r="H147" s="47"/>
      <c r="I147" s="47"/>
      <c r="J147" s="48"/>
      <c r="K147" s="46" t="s">
        <v>324</v>
      </c>
      <c r="L147" s="47"/>
      <c r="M147" s="47"/>
      <c r="N147" s="48"/>
      <c r="O147" s="46" t="s">
        <v>231</v>
      </c>
      <c r="P147" s="47"/>
      <c r="Q147" s="48"/>
      <c r="R147" s="46"/>
      <c r="S147" s="48"/>
      <c r="T147" s="46"/>
      <c r="U147" s="48"/>
      <c r="V147" s="46"/>
      <c r="W147" s="48"/>
      <c r="X147" s="50"/>
      <c r="Y147" s="51"/>
    </row>
    <row r="148" spans="1:25" ht="30" customHeight="1" x14ac:dyDescent="0.25">
      <c r="A148" s="37">
        <v>5</v>
      </c>
      <c r="B148" s="36" t="s">
        <v>275</v>
      </c>
      <c r="C148" s="46" t="s">
        <v>276</v>
      </c>
      <c r="D148" s="47"/>
      <c r="E148" s="47"/>
      <c r="F148" s="48"/>
      <c r="G148" s="46" t="s">
        <v>66</v>
      </c>
      <c r="H148" s="47"/>
      <c r="I148" s="47"/>
      <c r="J148" s="48"/>
      <c r="K148" s="46"/>
      <c r="L148" s="47"/>
      <c r="M148" s="47"/>
      <c r="N148" s="48"/>
      <c r="O148" s="46" t="s">
        <v>229</v>
      </c>
      <c r="P148" s="47"/>
      <c r="Q148" s="48"/>
      <c r="R148" s="46"/>
      <c r="S148" s="48"/>
      <c r="T148" s="46"/>
      <c r="U148" s="48"/>
      <c r="V148" s="46"/>
      <c r="W148" s="48"/>
      <c r="X148" s="50"/>
      <c r="Y148" s="51"/>
    </row>
    <row r="149" spans="1:25" ht="48" customHeight="1" thickBot="1" x14ac:dyDescent="0.3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 spans="1:25" ht="54" customHeight="1" thickTop="1" x14ac:dyDescent="0.25">
      <c r="A150" s="20">
        <f>'Invetario de Tablas'!A24</f>
        <v>21</v>
      </c>
      <c r="B150" s="29" t="s">
        <v>28</v>
      </c>
      <c r="C150" s="54" t="str">
        <f>'Invetario de Tablas'!B24</f>
        <v>investigacion</v>
      </c>
      <c r="D150" s="55"/>
      <c r="E150" s="55"/>
      <c r="F150" s="56"/>
      <c r="G150" s="57" t="s">
        <v>29</v>
      </c>
      <c r="H150" s="58"/>
      <c r="I150" s="58"/>
      <c r="J150" s="59"/>
      <c r="K150" s="60" t="str">
        <f>'Invetario de Tablas'!C24</f>
        <v>Documento o publicación que contiene información técnica o científica</v>
      </c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2"/>
      <c r="X150" s="21" t="s">
        <v>32</v>
      </c>
      <c r="Y150" s="22"/>
    </row>
    <row r="151" spans="1:25" ht="60" customHeight="1" x14ac:dyDescent="0.25">
      <c r="A151" s="23" t="s">
        <v>1</v>
      </c>
      <c r="B151" s="24" t="s">
        <v>33</v>
      </c>
      <c r="C151" s="52" t="s">
        <v>34</v>
      </c>
      <c r="D151" s="64"/>
      <c r="E151" s="64"/>
      <c r="F151" s="65"/>
      <c r="G151" s="52" t="s">
        <v>45</v>
      </c>
      <c r="H151" s="64"/>
      <c r="I151" s="64"/>
      <c r="J151" s="65"/>
      <c r="K151" s="52" t="s">
        <v>36</v>
      </c>
      <c r="L151" s="64"/>
      <c r="M151" s="64"/>
      <c r="N151" s="65"/>
      <c r="O151" s="52" t="s">
        <v>37</v>
      </c>
      <c r="P151" s="64"/>
      <c r="Q151" s="65"/>
      <c r="R151" s="52" t="s">
        <v>38</v>
      </c>
      <c r="S151" s="65"/>
      <c r="T151" s="52" t="s">
        <v>39</v>
      </c>
      <c r="U151" s="65"/>
      <c r="V151" s="52" t="s">
        <v>40</v>
      </c>
      <c r="W151" s="65"/>
      <c r="X151" s="52" t="s">
        <v>41</v>
      </c>
      <c r="Y151" s="53"/>
    </row>
    <row r="152" spans="1:25" ht="30" customHeight="1" x14ac:dyDescent="0.3">
      <c r="A152" s="37">
        <v>1</v>
      </c>
      <c r="B152" s="36" t="s">
        <v>277</v>
      </c>
      <c r="C152" s="46" t="s">
        <v>278</v>
      </c>
      <c r="D152" s="47"/>
      <c r="E152" s="47"/>
      <c r="F152" s="48"/>
      <c r="G152" s="67" t="s">
        <v>323</v>
      </c>
      <c r="H152" s="42"/>
      <c r="I152" s="42"/>
      <c r="J152" s="43"/>
      <c r="K152" s="49" t="s">
        <v>325</v>
      </c>
      <c r="L152" s="47"/>
      <c r="M152" s="47"/>
      <c r="N152" s="48"/>
      <c r="O152" s="46" t="s">
        <v>229</v>
      </c>
      <c r="P152" s="47"/>
      <c r="Q152" s="48"/>
      <c r="R152" s="66" t="s">
        <v>230</v>
      </c>
      <c r="S152" s="48"/>
      <c r="T152" s="46"/>
      <c r="U152" s="48"/>
      <c r="V152" s="66" t="s">
        <v>230</v>
      </c>
      <c r="W152" s="48"/>
      <c r="X152" s="50"/>
      <c r="Y152" s="51"/>
    </row>
    <row r="153" spans="1:25" ht="30" customHeight="1" x14ac:dyDescent="0.3">
      <c r="A153" s="37">
        <v>2</v>
      </c>
      <c r="B153" s="36" t="s">
        <v>201</v>
      </c>
      <c r="C153" s="46" t="s">
        <v>319</v>
      </c>
      <c r="D153" s="47"/>
      <c r="E153" s="47"/>
      <c r="F153" s="48"/>
      <c r="G153" s="67" t="s">
        <v>55</v>
      </c>
      <c r="H153" s="68"/>
      <c r="I153" s="68"/>
      <c r="J153" s="69"/>
      <c r="K153" s="46"/>
      <c r="L153" s="47"/>
      <c r="M153" s="47"/>
      <c r="N153" s="48"/>
      <c r="O153" s="46" t="s">
        <v>229</v>
      </c>
      <c r="P153" s="47"/>
      <c r="Q153" s="48"/>
      <c r="R153" s="46"/>
      <c r="S153" s="48"/>
      <c r="T153" s="66" t="s">
        <v>230</v>
      </c>
      <c r="U153" s="48"/>
      <c r="V153" s="46"/>
      <c r="W153" s="48"/>
      <c r="X153" s="50"/>
      <c r="Y153" s="51"/>
    </row>
    <row r="154" spans="1:25" ht="30" customHeight="1" x14ac:dyDescent="0.25">
      <c r="A154" s="37">
        <v>3</v>
      </c>
      <c r="B154" s="36" t="s">
        <v>272</v>
      </c>
      <c r="C154" s="46" t="s">
        <v>279</v>
      </c>
      <c r="D154" s="47"/>
      <c r="E154" s="47"/>
      <c r="F154" s="48"/>
      <c r="G154" s="49" t="s">
        <v>310</v>
      </c>
      <c r="H154" s="47"/>
      <c r="I154" s="47"/>
      <c r="J154" s="48"/>
      <c r="K154" s="46">
        <v>100</v>
      </c>
      <c r="L154" s="47"/>
      <c r="M154" s="47"/>
      <c r="N154" s="48"/>
      <c r="O154" s="46" t="s">
        <v>229</v>
      </c>
      <c r="P154" s="47"/>
      <c r="Q154" s="48"/>
      <c r="R154" s="46"/>
      <c r="S154" s="48"/>
      <c r="T154" s="46"/>
      <c r="U154" s="48"/>
      <c r="V154" s="46"/>
      <c r="W154" s="48"/>
      <c r="X154" s="50"/>
      <c r="Y154" s="51"/>
    </row>
    <row r="155" spans="1:25" ht="30" customHeight="1" x14ac:dyDescent="0.25">
      <c r="A155" s="37">
        <v>4</v>
      </c>
      <c r="B155" s="36" t="s">
        <v>147</v>
      </c>
      <c r="C155" s="46" t="s">
        <v>280</v>
      </c>
      <c r="D155" s="47"/>
      <c r="E155" s="47"/>
      <c r="F155" s="48"/>
      <c r="G155" s="49" t="s">
        <v>310</v>
      </c>
      <c r="H155" s="76"/>
      <c r="I155" s="76"/>
      <c r="J155" s="77"/>
      <c r="K155" s="46" t="s">
        <v>324</v>
      </c>
      <c r="L155" s="47"/>
      <c r="M155" s="47"/>
      <c r="N155" s="48"/>
      <c r="O155" s="46" t="s">
        <v>231</v>
      </c>
      <c r="P155" s="47"/>
      <c r="Q155" s="48"/>
      <c r="R155" s="46"/>
      <c r="S155" s="48"/>
      <c r="T155" s="46"/>
      <c r="U155" s="48"/>
      <c r="V155" s="46"/>
      <c r="W155" s="48"/>
      <c r="X155" s="50"/>
      <c r="Y155" s="51"/>
    </row>
    <row r="156" spans="1:25" ht="30" customHeight="1" x14ac:dyDescent="0.25">
      <c r="A156" s="37">
        <v>5</v>
      </c>
      <c r="B156" s="36" t="s">
        <v>164</v>
      </c>
      <c r="C156" s="46" t="s">
        <v>281</v>
      </c>
      <c r="D156" s="47"/>
      <c r="E156" s="47"/>
      <c r="F156" s="48"/>
      <c r="G156" s="46" t="s">
        <v>66</v>
      </c>
      <c r="H156" s="47"/>
      <c r="I156" s="47"/>
      <c r="J156" s="48"/>
      <c r="K156" s="46"/>
      <c r="L156" s="47"/>
      <c r="M156" s="47"/>
      <c r="N156" s="48"/>
      <c r="O156" s="46" t="s">
        <v>229</v>
      </c>
      <c r="P156" s="47"/>
      <c r="Q156" s="48"/>
      <c r="R156" s="46"/>
      <c r="S156" s="48"/>
      <c r="T156" s="46"/>
      <c r="U156" s="48"/>
      <c r="V156" s="46"/>
      <c r="W156" s="48"/>
      <c r="X156" s="50"/>
      <c r="Y156" s="51"/>
    </row>
    <row r="157" spans="1:25" ht="48" customHeight="1" thickBot="1" x14ac:dyDescent="0.3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 spans="1:25" ht="54" customHeight="1" thickTop="1" x14ac:dyDescent="0.25">
      <c r="A158" s="20">
        <f>'Invetario de Tablas'!A25</f>
        <v>22</v>
      </c>
      <c r="B158" s="29" t="s">
        <v>28</v>
      </c>
      <c r="C158" s="54" t="str">
        <f>'Invetario de Tablas'!B25</f>
        <v>evento</v>
      </c>
      <c r="D158" s="55"/>
      <c r="E158" s="55"/>
      <c r="F158" s="56"/>
      <c r="G158" s="57" t="s">
        <v>29</v>
      </c>
      <c r="H158" s="58"/>
      <c r="I158" s="58"/>
      <c r="J158" s="59"/>
      <c r="K158" s="60" t="str">
        <f>'Invetario de Tablas'!C25</f>
        <v>Actividad programada como talleres, seminarios o encuentros relacionados con el sector apícola</v>
      </c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2"/>
      <c r="X158" s="21" t="s">
        <v>32</v>
      </c>
      <c r="Y158" s="22"/>
    </row>
    <row r="159" spans="1:25" ht="60" customHeight="1" x14ac:dyDescent="0.25">
      <c r="A159" s="23" t="s">
        <v>1</v>
      </c>
      <c r="B159" s="24" t="s">
        <v>33</v>
      </c>
      <c r="C159" s="52" t="s">
        <v>34</v>
      </c>
      <c r="D159" s="64"/>
      <c r="E159" s="64"/>
      <c r="F159" s="65"/>
      <c r="G159" s="52" t="s">
        <v>45</v>
      </c>
      <c r="H159" s="64"/>
      <c r="I159" s="64"/>
      <c r="J159" s="65"/>
      <c r="K159" s="52" t="s">
        <v>36</v>
      </c>
      <c r="L159" s="64"/>
      <c r="M159" s="64"/>
      <c r="N159" s="65"/>
      <c r="O159" s="52" t="s">
        <v>37</v>
      </c>
      <c r="P159" s="64"/>
      <c r="Q159" s="65"/>
      <c r="R159" s="52" t="s">
        <v>38</v>
      </c>
      <c r="S159" s="65"/>
      <c r="T159" s="52" t="s">
        <v>39</v>
      </c>
      <c r="U159" s="65"/>
      <c r="V159" s="52" t="s">
        <v>40</v>
      </c>
      <c r="W159" s="65"/>
      <c r="X159" s="52" t="s">
        <v>41</v>
      </c>
      <c r="Y159" s="53"/>
    </row>
    <row r="160" spans="1:25" ht="30" customHeight="1" x14ac:dyDescent="0.3">
      <c r="A160" s="37">
        <v>1</v>
      </c>
      <c r="B160" s="36" t="s">
        <v>282</v>
      </c>
      <c r="C160" s="46" t="s">
        <v>283</v>
      </c>
      <c r="D160" s="47"/>
      <c r="E160" s="47"/>
      <c r="F160" s="48"/>
      <c r="G160" s="67" t="s">
        <v>323</v>
      </c>
      <c r="H160" s="42"/>
      <c r="I160" s="42"/>
      <c r="J160" s="43"/>
      <c r="K160" s="49" t="s">
        <v>325</v>
      </c>
      <c r="L160" s="47"/>
      <c r="M160" s="47"/>
      <c r="N160" s="48"/>
      <c r="O160" s="46" t="s">
        <v>229</v>
      </c>
      <c r="P160" s="47"/>
      <c r="Q160" s="48"/>
      <c r="R160" s="66" t="s">
        <v>230</v>
      </c>
      <c r="S160" s="48"/>
      <c r="T160" s="46"/>
      <c r="U160" s="48"/>
      <c r="V160" s="66" t="s">
        <v>230</v>
      </c>
      <c r="W160" s="48"/>
      <c r="X160" s="50"/>
      <c r="Y160" s="51"/>
    </row>
    <row r="161" spans="1:25" ht="30" customHeight="1" x14ac:dyDescent="0.3">
      <c r="A161" s="37">
        <v>2</v>
      </c>
      <c r="B161" s="36" t="s">
        <v>277</v>
      </c>
      <c r="C161" s="46" t="s">
        <v>284</v>
      </c>
      <c r="D161" s="47"/>
      <c r="E161" s="47"/>
      <c r="F161" s="48"/>
      <c r="G161" s="67" t="s">
        <v>55</v>
      </c>
      <c r="H161" s="68"/>
      <c r="I161" s="68"/>
      <c r="J161" s="69"/>
      <c r="K161" s="46"/>
      <c r="L161" s="47"/>
      <c r="M161" s="47"/>
      <c r="N161" s="48"/>
      <c r="O161" s="46" t="s">
        <v>229</v>
      </c>
      <c r="P161" s="47"/>
      <c r="Q161" s="48"/>
      <c r="R161" s="46"/>
      <c r="S161" s="48"/>
      <c r="T161" s="66" t="s">
        <v>230</v>
      </c>
      <c r="U161" s="48"/>
      <c r="V161" s="46"/>
      <c r="W161" s="48"/>
      <c r="X161" s="50"/>
      <c r="Y161" s="51"/>
    </row>
    <row r="162" spans="1:25" ht="30" customHeight="1" x14ac:dyDescent="0.25">
      <c r="A162" s="37">
        <v>3</v>
      </c>
      <c r="B162" s="36" t="s">
        <v>146</v>
      </c>
      <c r="C162" s="46" t="s">
        <v>285</v>
      </c>
      <c r="D162" s="47"/>
      <c r="E162" s="47"/>
      <c r="F162" s="48"/>
      <c r="G162" s="49" t="s">
        <v>310</v>
      </c>
      <c r="H162" s="47"/>
      <c r="I162" s="47"/>
      <c r="J162" s="48"/>
      <c r="K162" s="46">
        <v>50</v>
      </c>
      <c r="L162" s="47"/>
      <c r="M162" s="47"/>
      <c r="N162" s="48"/>
      <c r="O162" s="46" t="s">
        <v>229</v>
      </c>
      <c r="P162" s="47"/>
      <c r="Q162" s="48"/>
      <c r="R162" s="46"/>
      <c r="S162" s="48"/>
      <c r="T162" s="46"/>
      <c r="U162" s="48"/>
      <c r="V162" s="46"/>
      <c r="W162" s="48"/>
      <c r="X162" s="50"/>
      <c r="Y162" s="51"/>
    </row>
    <row r="163" spans="1:25" ht="30" customHeight="1" x14ac:dyDescent="0.25">
      <c r="A163" s="37">
        <v>4</v>
      </c>
      <c r="B163" s="36" t="s">
        <v>164</v>
      </c>
      <c r="C163" s="46" t="s">
        <v>286</v>
      </c>
      <c r="D163" s="47"/>
      <c r="E163" s="47"/>
      <c r="F163" s="48"/>
      <c r="G163" s="46" t="s">
        <v>66</v>
      </c>
      <c r="H163" s="47"/>
      <c r="I163" s="47"/>
      <c r="J163" s="48"/>
      <c r="K163" s="46"/>
      <c r="L163" s="47"/>
      <c r="M163" s="47"/>
      <c r="N163" s="48"/>
      <c r="O163" s="46" t="s">
        <v>229</v>
      </c>
      <c r="P163" s="47"/>
      <c r="Q163" s="48"/>
      <c r="R163" s="46"/>
      <c r="S163" s="48"/>
      <c r="T163" s="46"/>
      <c r="U163" s="48"/>
      <c r="V163" s="46"/>
      <c r="W163" s="48"/>
      <c r="X163" s="50"/>
      <c r="Y163" s="51"/>
    </row>
    <row r="164" spans="1:25" ht="30" customHeight="1" x14ac:dyDescent="0.25">
      <c r="A164" s="37">
        <v>5</v>
      </c>
      <c r="B164" s="36" t="s">
        <v>287</v>
      </c>
      <c r="C164" s="46" t="s">
        <v>288</v>
      </c>
      <c r="D164" s="47"/>
      <c r="E164" s="47"/>
      <c r="F164" s="48"/>
      <c r="G164" s="49" t="s">
        <v>310</v>
      </c>
      <c r="H164" s="47"/>
      <c r="I164" s="47"/>
      <c r="J164" s="48"/>
      <c r="K164" s="46">
        <v>50</v>
      </c>
      <c r="L164" s="47"/>
      <c r="M164" s="47"/>
      <c r="N164" s="48"/>
      <c r="O164" s="46" t="s">
        <v>229</v>
      </c>
      <c r="P164" s="47"/>
      <c r="Q164" s="48"/>
      <c r="R164" s="46"/>
      <c r="S164" s="48"/>
      <c r="T164" s="46"/>
      <c r="U164" s="48"/>
      <c r="V164" s="46"/>
      <c r="W164" s="48"/>
      <c r="X164" s="50"/>
      <c r="Y164" s="51"/>
    </row>
    <row r="165" spans="1:25" ht="48" customHeight="1" thickBot="1" x14ac:dyDescent="0.3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 spans="1:25" ht="54" customHeight="1" thickTop="1" x14ac:dyDescent="0.25">
      <c r="A166" s="20">
        <f>'Invetario de Tablas'!A26</f>
        <v>23</v>
      </c>
      <c r="B166" s="29" t="s">
        <v>28</v>
      </c>
      <c r="C166" s="54" t="str">
        <f>'Invetario de Tablas'!B26</f>
        <v>comunidad</v>
      </c>
      <c r="D166" s="55"/>
      <c r="E166" s="55"/>
      <c r="F166" s="56"/>
      <c r="G166" s="57" t="s">
        <v>29</v>
      </c>
      <c r="H166" s="58"/>
      <c r="I166" s="58"/>
      <c r="J166" s="59"/>
      <c r="K166" s="60" t="str">
        <f>'Invetario de Tablas'!C26</f>
        <v>Grupo de apicultores que se organizan dentro de la plataforma para compartir conocimiento, experiencias o apoyo</v>
      </c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2"/>
      <c r="X166" s="21" t="s">
        <v>32</v>
      </c>
      <c r="Y166" s="22"/>
    </row>
    <row r="167" spans="1:25" ht="60" customHeight="1" x14ac:dyDescent="0.25">
      <c r="A167" s="23" t="s">
        <v>1</v>
      </c>
      <c r="B167" s="24" t="s">
        <v>33</v>
      </c>
      <c r="C167" s="63" t="s">
        <v>34</v>
      </c>
      <c r="D167" s="64"/>
      <c r="E167" s="64"/>
      <c r="F167" s="65"/>
      <c r="G167" s="52" t="s">
        <v>45</v>
      </c>
      <c r="H167" s="64"/>
      <c r="I167" s="64"/>
      <c r="J167" s="65"/>
      <c r="K167" s="52" t="s">
        <v>36</v>
      </c>
      <c r="L167" s="64"/>
      <c r="M167" s="64"/>
      <c r="N167" s="65"/>
      <c r="O167" s="52" t="s">
        <v>37</v>
      </c>
      <c r="P167" s="64"/>
      <c r="Q167" s="65"/>
      <c r="R167" s="52" t="s">
        <v>38</v>
      </c>
      <c r="S167" s="65"/>
      <c r="T167" s="52" t="s">
        <v>39</v>
      </c>
      <c r="U167" s="65"/>
      <c r="V167" s="52" t="s">
        <v>40</v>
      </c>
      <c r="W167" s="65"/>
      <c r="X167" s="52" t="s">
        <v>41</v>
      </c>
      <c r="Y167" s="53"/>
    </row>
    <row r="168" spans="1:25" ht="30" customHeight="1" x14ac:dyDescent="0.3">
      <c r="A168" s="37">
        <v>1</v>
      </c>
      <c r="B168" s="36" t="s">
        <v>289</v>
      </c>
      <c r="C168" s="46" t="s">
        <v>290</v>
      </c>
      <c r="D168" s="47"/>
      <c r="E168" s="47"/>
      <c r="F168" s="48"/>
      <c r="G168" s="67" t="s">
        <v>323</v>
      </c>
      <c r="H168" s="42"/>
      <c r="I168" s="42"/>
      <c r="J168" s="43"/>
      <c r="K168" s="49" t="s">
        <v>325</v>
      </c>
      <c r="L168" s="47"/>
      <c r="M168" s="47"/>
      <c r="N168" s="48"/>
      <c r="O168" s="46" t="s">
        <v>229</v>
      </c>
      <c r="P168" s="47"/>
      <c r="Q168" s="48"/>
      <c r="R168" s="66" t="s">
        <v>230</v>
      </c>
      <c r="S168" s="48"/>
      <c r="T168" s="46"/>
      <c r="U168" s="48"/>
      <c r="V168" s="66" t="s">
        <v>230</v>
      </c>
      <c r="W168" s="48"/>
      <c r="X168" s="50"/>
      <c r="Y168" s="51"/>
    </row>
    <row r="169" spans="1:25" ht="30" customHeight="1" x14ac:dyDescent="0.25">
      <c r="A169" s="37">
        <v>2</v>
      </c>
      <c r="B169" s="36" t="s">
        <v>146</v>
      </c>
      <c r="C169" s="46" t="s">
        <v>291</v>
      </c>
      <c r="D169" s="47"/>
      <c r="E169" s="47"/>
      <c r="F169" s="48"/>
      <c r="G169" s="49" t="s">
        <v>310</v>
      </c>
      <c r="H169" s="47"/>
      <c r="I169" s="47"/>
      <c r="J169" s="48"/>
      <c r="K169" s="46">
        <v>50</v>
      </c>
      <c r="L169" s="47"/>
      <c r="M169" s="47"/>
      <c r="N169" s="48"/>
      <c r="O169" s="46" t="s">
        <v>229</v>
      </c>
      <c r="P169" s="47"/>
      <c r="Q169" s="48"/>
      <c r="R169" s="46"/>
      <c r="S169" s="48"/>
      <c r="T169" s="46"/>
      <c r="U169" s="48"/>
      <c r="V169" s="46"/>
      <c r="W169" s="48"/>
      <c r="X169" s="50"/>
      <c r="Y169" s="51"/>
    </row>
    <row r="170" spans="1:25" ht="30" customHeight="1" x14ac:dyDescent="0.25">
      <c r="A170" s="37">
        <v>3</v>
      </c>
      <c r="B170" s="36" t="s">
        <v>147</v>
      </c>
      <c r="C170" s="46" t="s">
        <v>292</v>
      </c>
      <c r="D170" s="47"/>
      <c r="E170" s="47"/>
      <c r="F170" s="48"/>
      <c r="G170" s="49" t="s">
        <v>310</v>
      </c>
      <c r="H170" s="47"/>
      <c r="I170" s="47"/>
      <c r="J170" s="48"/>
      <c r="K170" s="46" t="s">
        <v>324</v>
      </c>
      <c r="L170" s="47"/>
      <c r="M170" s="47"/>
      <c r="N170" s="48"/>
      <c r="O170" s="46" t="s">
        <v>231</v>
      </c>
      <c r="P170" s="47"/>
      <c r="Q170" s="48"/>
      <c r="R170" s="46"/>
      <c r="S170" s="48"/>
      <c r="T170" s="46"/>
      <c r="U170" s="48"/>
      <c r="V170" s="46"/>
      <c r="W170" s="48"/>
      <c r="X170" s="50"/>
      <c r="Y170" s="51"/>
    </row>
    <row r="171" spans="1:25" ht="30" customHeight="1" x14ac:dyDescent="0.25">
      <c r="A171" s="37">
        <v>4</v>
      </c>
      <c r="B171" s="36" t="s">
        <v>218</v>
      </c>
      <c r="C171" s="46" t="s">
        <v>219</v>
      </c>
      <c r="D171" s="47"/>
      <c r="E171" s="47"/>
      <c r="F171" s="48"/>
      <c r="G171" s="46" t="s">
        <v>66</v>
      </c>
      <c r="H171" s="47"/>
      <c r="I171" s="47"/>
      <c r="J171" s="48"/>
      <c r="K171" s="46"/>
      <c r="L171" s="47"/>
      <c r="M171" s="47"/>
      <c r="N171" s="48"/>
      <c r="O171" s="46" t="s">
        <v>229</v>
      </c>
      <c r="P171" s="47"/>
      <c r="Q171" s="48"/>
      <c r="R171" s="46"/>
      <c r="S171" s="48"/>
      <c r="T171" s="46"/>
      <c r="U171" s="48"/>
      <c r="V171" s="46"/>
      <c r="W171" s="48"/>
      <c r="X171" s="50"/>
      <c r="Y171" s="51"/>
    </row>
    <row r="172" spans="1:25" ht="48" customHeight="1" thickBot="1" x14ac:dyDescent="0.3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 spans="1:25" ht="54" customHeight="1" thickTop="1" x14ac:dyDescent="0.25">
      <c r="A173" s="20">
        <f>'Invetario de Tablas'!A27</f>
        <v>24</v>
      </c>
      <c r="B173" s="29" t="s">
        <v>28</v>
      </c>
      <c r="C173" s="54" t="str">
        <f>'Invetario de Tablas'!B27</f>
        <v>lote</v>
      </c>
      <c r="D173" s="55"/>
      <c r="E173" s="55"/>
      <c r="F173" s="56"/>
      <c r="G173" s="57" t="s">
        <v>29</v>
      </c>
      <c r="H173" s="58"/>
      <c r="I173" s="58"/>
      <c r="J173" s="59"/>
      <c r="K173" s="60" t="str">
        <f>'Invetario de Tablas'!C27</f>
        <v>Conjunto específico de producto obtenido a partir de una cosecha</v>
      </c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2"/>
      <c r="X173" s="21" t="s">
        <v>32</v>
      </c>
      <c r="Y173" s="22"/>
    </row>
    <row r="174" spans="1:25" ht="60" customHeight="1" x14ac:dyDescent="0.25">
      <c r="A174" s="23" t="s">
        <v>1</v>
      </c>
      <c r="B174" s="24" t="s">
        <v>33</v>
      </c>
      <c r="C174" s="63" t="s">
        <v>34</v>
      </c>
      <c r="D174" s="64"/>
      <c r="E174" s="64"/>
      <c r="F174" s="65"/>
      <c r="G174" s="52" t="s">
        <v>45</v>
      </c>
      <c r="H174" s="64"/>
      <c r="I174" s="64"/>
      <c r="J174" s="65"/>
      <c r="K174" s="52" t="s">
        <v>36</v>
      </c>
      <c r="L174" s="64"/>
      <c r="M174" s="64"/>
      <c r="N174" s="65"/>
      <c r="O174" s="52" t="s">
        <v>37</v>
      </c>
      <c r="P174" s="64"/>
      <c r="Q174" s="65"/>
      <c r="R174" s="52" t="s">
        <v>38</v>
      </c>
      <c r="S174" s="65"/>
      <c r="T174" s="52" t="s">
        <v>39</v>
      </c>
      <c r="U174" s="65"/>
      <c r="V174" s="52" t="s">
        <v>40</v>
      </c>
      <c r="W174" s="65"/>
      <c r="X174" s="52" t="s">
        <v>41</v>
      </c>
      <c r="Y174" s="53"/>
    </row>
    <row r="175" spans="1:25" ht="30" customHeight="1" x14ac:dyDescent="0.3">
      <c r="A175" s="37">
        <v>1</v>
      </c>
      <c r="B175" s="36" t="s">
        <v>174</v>
      </c>
      <c r="C175" s="46" t="s">
        <v>293</v>
      </c>
      <c r="D175" s="47"/>
      <c r="E175" s="47"/>
      <c r="F175" s="48"/>
      <c r="G175" s="67" t="s">
        <v>323</v>
      </c>
      <c r="H175" s="42"/>
      <c r="I175" s="42"/>
      <c r="J175" s="43"/>
      <c r="K175" s="49" t="s">
        <v>325</v>
      </c>
      <c r="L175" s="47"/>
      <c r="M175" s="47"/>
      <c r="N175" s="48"/>
      <c r="O175" s="46" t="s">
        <v>229</v>
      </c>
      <c r="P175" s="47"/>
      <c r="Q175" s="48"/>
      <c r="R175" s="66" t="s">
        <v>230</v>
      </c>
      <c r="S175" s="48"/>
      <c r="T175" s="46"/>
      <c r="U175" s="48"/>
      <c r="V175" s="66" t="s">
        <v>230</v>
      </c>
      <c r="W175" s="48"/>
      <c r="X175" s="50"/>
      <c r="Y175" s="51"/>
    </row>
    <row r="176" spans="1:25" ht="30" customHeight="1" x14ac:dyDescent="0.3">
      <c r="A176" s="37">
        <v>2</v>
      </c>
      <c r="B176" s="36" t="s">
        <v>163</v>
      </c>
      <c r="C176" s="46" t="s">
        <v>294</v>
      </c>
      <c r="D176" s="47"/>
      <c r="E176" s="47"/>
      <c r="F176" s="48"/>
      <c r="G176" s="67" t="s">
        <v>55</v>
      </c>
      <c r="H176" s="68"/>
      <c r="I176" s="68"/>
      <c r="J176" s="69"/>
      <c r="K176" s="46"/>
      <c r="L176" s="47"/>
      <c r="M176" s="47"/>
      <c r="N176" s="48"/>
      <c r="O176" s="46" t="s">
        <v>229</v>
      </c>
      <c r="P176" s="47"/>
      <c r="Q176" s="48"/>
      <c r="R176" s="46"/>
      <c r="S176" s="48"/>
      <c r="T176" s="66" t="s">
        <v>230</v>
      </c>
      <c r="U176" s="48"/>
      <c r="V176" s="46"/>
      <c r="W176" s="48"/>
      <c r="X176" s="50"/>
      <c r="Y176" s="51"/>
    </row>
    <row r="177" spans="1:25" ht="30" customHeight="1" x14ac:dyDescent="0.25">
      <c r="A177" s="37">
        <v>3</v>
      </c>
      <c r="B177" s="36" t="s">
        <v>176</v>
      </c>
      <c r="C177" s="46" t="s">
        <v>295</v>
      </c>
      <c r="D177" s="47"/>
      <c r="E177" s="47"/>
      <c r="F177" s="48"/>
      <c r="G177" s="67" t="s">
        <v>55</v>
      </c>
      <c r="H177" s="68"/>
      <c r="I177" s="68"/>
      <c r="J177" s="69"/>
      <c r="K177" s="46"/>
      <c r="L177" s="47"/>
      <c r="M177" s="47"/>
      <c r="N177" s="48"/>
      <c r="O177" s="46" t="s">
        <v>296</v>
      </c>
      <c r="P177" s="47"/>
      <c r="Q177" s="48"/>
      <c r="R177" s="46"/>
      <c r="S177" s="48"/>
      <c r="T177" s="46"/>
      <c r="U177" s="48"/>
      <c r="V177" s="46"/>
      <c r="W177" s="48"/>
      <c r="X177" s="50"/>
      <c r="Y177" s="51"/>
    </row>
    <row r="178" spans="1:25" ht="30" customHeight="1" x14ac:dyDescent="0.25">
      <c r="A178" s="37">
        <v>4</v>
      </c>
      <c r="B178" s="36" t="s">
        <v>297</v>
      </c>
      <c r="C178" s="46" t="s">
        <v>298</v>
      </c>
      <c r="D178" s="47"/>
      <c r="E178" s="47"/>
      <c r="F178" s="48"/>
      <c r="G178" s="46" t="s">
        <v>66</v>
      </c>
      <c r="H178" s="47"/>
      <c r="I178" s="47"/>
      <c r="J178" s="48"/>
      <c r="K178" s="46"/>
      <c r="L178" s="47"/>
      <c r="M178" s="47"/>
      <c r="N178" s="48"/>
      <c r="O178" s="46" t="s">
        <v>229</v>
      </c>
      <c r="P178" s="47"/>
      <c r="Q178" s="48"/>
      <c r="R178" s="46"/>
      <c r="S178" s="48"/>
      <c r="T178" s="46"/>
      <c r="U178" s="48"/>
      <c r="V178" s="46"/>
      <c r="W178" s="48"/>
      <c r="X178" s="50"/>
      <c r="Y178" s="51"/>
    </row>
    <row r="179" spans="1:25" ht="48" customHeight="1" thickBot="1" x14ac:dyDescent="0.3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 spans="1:25" ht="54" customHeight="1" thickTop="1" x14ac:dyDescent="0.25">
      <c r="A180" s="20">
        <f>'Invetario de Tablas'!A28</f>
        <v>25</v>
      </c>
      <c r="B180" s="29" t="s">
        <v>28</v>
      </c>
      <c r="C180" s="54" t="str">
        <f>'Invetario de Tablas'!B28</f>
        <v>apicultor_intercambio</v>
      </c>
      <c r="D180" s="55"/>
      <c r="E180" s="55"/>
      <c r="F180" s="56"/>
      <c r="G180" s="57" t="s">
        <v>29</v>
      </c>
      <c r="H180" s="58"/>
      <c r="I180" s="58"/>
      <c r="J180" s="59"/>
      <c r="K180" s="60" t="str">
        <f>'Invetario de Tablas'!C28</f>
        <v>Tabla formada por la relacion M:N entre apicultor y intercambio</v>
      </c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2"/>
      <c r="X180" s="21" t="s">
        <v>32</v>
      </c>
      <c r="Y180" s="22"/>
    </row>
    <row r="181" spans="1:25" ht="60" customHeight="1" x14ac:dyDescent="0.25">
      <c r="A181" s="23" t="s">
        <v>1</v>
      </c>
      <c r="B181" s="24" t="s">
        <v>33</v>
      </c>
      <c r="C181" s="63" t="s">
        <v>34</v>
      </c>
      <c r="D181" s="64"/>
      <c r="E181" s="64"/>
      <c r="F181" s="65"/>
      <c r="G181" s="52" t="s">
        <v>45</v>
      </c>
      <c r="H181" s="64"/>
      <c r="I181" s="64"/>
      <c r="J181" s="65"/>
      <c r="K181" s="52" t="s">
        <v>36</v>
      </c>
      <c r="L181" s="64"/>
      <c r="M181" s="64"/>
      <c r="N181" s="65"/>
      <c r="O181" s="52" t="s">
        <v>37</v>
      </c>
      <c r="P181" s="64"/>
      <c r="Q181" s="65"/>
      <c r="R181" s="52" t="s">
        <v>38</v>
      </c>
      <c r="S181" s="65"/>
      <c r="T181" s="52" t="s">
        <v>39</v>
      </c>
      <c r="U181" s="65"/>
      <c r="V181" s="52" t="s">
        <v>40</v>
      </c>
      <c r="W181" s="65"/>
      <c r="X181" s="52" t="s">
        <v>41</v>
      </c>
      <c r="Y181" s="53"/>
    </row>
    <row r="182" spans="1:25" ht="30" customHeight="1" x14ac:dyDescent="0.3">
      <c r="A182" s="37">
        <v>1</v>
      </c>
      <c r="B182" s="36" t="s">
        <v>145</v>
      </c>
      <c r="C182" s="46" t="s">
        <v>299</v>
      </c>
      <c r="D182" s="47"/>
      <c r="E182" s="47"/>
      <c r="F182" s="48"/>
      <c r="G182" s="46" t="s">
        <v>55</v>
      </c>
      <c r="H182" s="47"/>
      <c r="I182" s="47"/>
      <c r="J182" s="48"/>
      <c r="K182" s="46"/>
      <c r="L182" s="47"/>
      <c r="M182" s="47"/>
      <c r="N182" s="48"/>
      <c r="O182" s="46" t="s">
        <v>229</v>
      </c>
      <c r="P182" s="47"/>
      <c r="Q182" s="48"/>
      <c r="R182" s="66" t="s">
        <v>230</v>
      </c>
      <c r="S182" s="48"/>
      <c r="T182" s="66" t="s">
        <v>230</v>
      </c>
      <c r="U182" s="48"/>
      <c r="V182" s="46"/>
      <c r="W182" s="48"/>
      <c r="X182" s="50"/>
      <c r="Y182" s="51"/>
    </row>
    <row r="183" spans="1:25" ht="30" customHeight="1" x14ac:dyDescent="0.3">
      <c r="A183" s="37">
        <v>2</v>
      </c>
      <c r="B183" s="36" t="s">
        <v>244</v>
      </c>
      <c r="C183" s="46" t="s">
        <v>300</v>
      </c>
      <c r="D183" s="47"/>
      <c r="E183" s="47"/>
      <c r="F183" s="48"/>
      <c r="G183" s="46" t="s">
        <v>55</v>
      </c>
      <c r="H183" s="47"/>
      <c r="I183" s="47"/>
      <c r="J183" s="48"/>
      <c r="K183" s="46"/>
      <c r="L183" s="47"/>
      <c r="M183" s="47"/>
      <c r="N183" s="48"/>
      <c r="O183" s="46" t="s">
        <v>229</v>
      </c>
      <c r="P183" s="47"/>
      <c r="Q183" s="48"/>
      <c r="R183" s="66" t="s">
        <v>230</v>
      </c>
      <c r="S183" s="48"/>
      <c r="T183" s="66" t="s">
        <v>230</v>
      </c>
      <c r="U183" s="48"/>
      <c r="V183" s="46"/>
      <c r="W183" s="48"/>
      <c r="X183" s="50"/>
      <c r="Y183" s="51"/>
    </row>
    <row r="184" spans="1:25" ht="48" customHeight="1" thickBot="1" x14ac:dyDescent="0.3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 spans="1:25" ht="54" customHeight="1" thickTop="1" x14ac:dyDescent="0.25">
      <c r="A185" s="20">
        <f>'Invetario de Tablas'!A29</f>
        <v>26</v>
      </c>
      <c r="B185" s="29" t="s">
        <v>28</v>
      </c>
      <c r="C185" s="54" t="str">
        <f>'Invetario de Tablas'!B29</f>
        <v>apicultor_comunidad</v>
      </c>
      <c r="D185" s="55"/>
      <c r="E185" s="55"/>
      <c r="F185" s="56"/>
      <c r="G185" s="57" t="s">
        <v>29</v>
      </c>
      <c r="H185" s="58"/>
      <c r="I185" s="58"/>
      <c r="J185" s="59"/>
      <c r="K185" s="60" t="str">
        <f>'Invetario de Tablas'!C29</f>
        <v>Tabla intermedia formada por la cardinalidad M:N entre apicultor y comunidad</v>
      </c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2"/>
      <c r="X185" s="21" t="s">
        <v>32</v>
      </c>
      <c r="Y185" s="22"/>
    </row>
    <row r="186" spans="1:25" ht="60" customHeight="1" x14ac:dyDescent="0.25">
      <c r="A186" s="23" t="s">
        <v>1</v>
      </c>
      <c r="B186" s="24" t="s">
        <v>33</v>
      </c>
      <c r="C186" s="63" t="s">
        <v>34</v>
      </c>
      <c r="D186" s="64"/>
      <c r="E186" s="64"/>
      <c r="F186" s="65"/>
      <c r="G186" s="52" t="s">
        <v>45</v>
      </c>
      <c r="H186" s="64"/>
      <c r="I186" s="64"/>
      <c r="J186" s="65"/>
      <c r="K186" s="52" t="s">
        <v>36</v>
      </c>
      <c r="L186" s="64"/>
      <c r="M186" s="64"/>
      <c r="N186" s="65"/>
      <c r="O186" s="52" t="s">
        <v>37</v>
      </c>
      <c r="P186" s="64"/>
      <c r="Q186" s="65"/>
      <c r="R186" s="52" t="s">
        <v>38</v>
      </c>
      <c r="S186" s="65"/>
      <c r="T186" s="52" t="s">
        <v>39</v>
      </c>
      <c r="U186" s="65"/>
      <c r="V186" s="52" t="s">
        <v>40</v>
      </c>
      <c r="W186" s="65"/>
      <c r="X186" s="52" t="s">
        <v>41</v>
      </c>
      <c r="Y186" s="53"/>
    </row>
    <row r="187" spans="1:25" ht="30" customHeight="1" x14ac:dyDescent="0.3">
      <c r="A187" s="37">
        <v>1</v>
      </c>
      <c r="B187" s="36" t="s">
        <v>145</v>
      </c>
      <c r="C187" s="46" t="s">
        <v>315</v>
      </c>
      <c r="D187" s="47"/>
      <c r="E187" s="47"/>
      <c r="F187" s="48"/>
      <c r="G187" s="46" t="s">
        <v>55</v>
      </c>
      <c r="H187" s="47"/>
      <c r="I187" s="47"/>
      <c r="J187" s="48"/>
      <c r="K187" s="46"/>
      <c r="L187" s="47"/>
      <c r="M187" s="47"/>
      <c r="N187" s="48"/>
      <c r="O187" s="46" t="s">
        <v>229</v>
      </c>
      <c r="P187" s="47"/>
      <c r="Q187" s="48"/>
      <c r="R187" s="66" t="s">
        <v>230</v>
      </c>
      <c r="S187" s="48"/>
      <c r="T187" s="66" t="s">
        <v>230</v>
      </c>
      <c r="U187" s="48"/>
      <c r="V187" s="46"/>
      <c r="W187" s="48"/>
      <c r="X187" s="50"/>
      <c r="Y187" s="51"/>
    </row>
    <row r="188" spans="1:25" ht="30" customHeight="1" x14ac:dyDescent="0.3">
      <c r="A188" s="37">
        <v>2</v>
      </c>
      <c r="B188" s="36" t="s">
        <v>289</v>
      </c>
      <c r="C188" s="46" t="s">
        <v>301</v>
      </c>
      <c r="D188" s="47"/>
      <c r="E188" s="47"/>
      <c r="F188" s="48"/>
      <c r="G188" s="46" t="s">
        <v>55</v>
      </c>
      <c r="H188" s="47"/>
      <c r="I188" s="47"/>
      <c r="J188" s="48"/>
      <c r="K188" s="46"/>
      <c r="L188" s="47"/>
      <c r="M188" s="47"/>
      <c r="N188" s="48"/>
      <c r="O188" s="46" t="s">
        <v>229</v>
      </c>
      <c r="P188" s="47"/>
      <c r="Q188" s="48"/>
      <c r="R188" s="66" t="s">
        <v>230</v>
      </c>
      <c r="S188" s="48"/>
      <c r="T188" s="66" t="s">
        <v>230</v>
      </c>
      <c r="U188" s="48"/>
      <c r="V188" s="46"/>
      <c r="W188" s="48"/>
      <c r="X188" s="50"/>
      <c r="Y188" s="51"/>
    </row>
    <row r="189" spans="1:25" ht="48" customHeight="1" thickBot="1" x14ac:dyDescent="0.3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 spans="1:25" ht="54" customHeight="1" thickTop="1" x14ac:dyDescent="0.25">
      <c r="A190" s="20">
        <f>'Invetario de Tablas'!A30</f>
        <v>27</v>
      </c>
      <c r="B190" s="29" t="s">
        <v>28</v>
      </c>
      <c r="C190" s="54" t="str">
        <f>'Invetario de Tablas'!B30</f>
        <v>evento_apicultor</v>
      </c>
      <c r="D190" s="55"/>
      <c r="E190" s="55"/>
      <c r="F190" s="56"/>
      <c r="G190" s="57" t="s">
        <v>29</v>
      </c>
      <c r="H190" s="58"/>
      <c r="I190" s="58"/>
      <c r="J190" s="59"/>
      <c r="K190" s="60" t="str">
        <f>'Invetario de Tablas'!C30</f>
        <v>Tabla intermedia formada por la cardinalidad M:N entre evento y apicultor</v>
      </c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2"/>
      <c r="X190" s="21" t="s">
        <v>32</v>
      </c>
      <c r="Y190" s="22"/>
    </row>
    <row r="191" spans="1:25" ht="60" customHeight="1" x14ac:dyDescent="0.25">
      <c r="A191" s="23" t="s">
        <v>1</v>
      </c>
      <c r="B191" s="24" t="s">
        <v>33</v>
      </c>
      <c r="C191" s="63" t="s">
        <v>34</v>
      </c>
      <c r="D191" s="64"/>
      <c r="E191" s="64"/>
      <c r="F191" s="65"/>
      <c r="G191" s="52" t="s">
        <v>45</v>
      </c>
      <c r="H191" s="64"/>
      <c r="I191" s="64"/>
      <c r="J191" s="65"/>
      <c r="K191" s="52" t="s">
        <v>36</v>
      </c>
      <c r="L191" s="64"/>
      <c r="M191" s="64"/>
      <c r="N191" s="65"/>
      <c r="O191" s="52" t="s">
        <v>37</v>
      </c>
      <c r="P191" s="64"/>
      <c r="Q191" s="65"/>
      <c r="R191" s="52" t="s">
        <v>38</v>
      </c>
      <c r="S191" s="65"/>
      <c r="T191" s="52" t="s">
        <v>39</v>
      </c>
      <c r="U191" s="65"/>
      <c r="V191" s="52" t="s">
        <v>40</v>
      </c>
      <c r="W191" s="65"/>
      <c r="X191" s="52" t="s">
        <v>41</v>
      </c>
      <c r="Y191" s="53"/>
    </row>
    <row r="192" spans="1:25" ht="30" customHeight="1" x14ac:dyDescent="0.25">
      <c r="A192" s="37">
        <v>1</v>
      </c>
      <c r="B192" s="36" t="s">
        <v>282</v>
      </c>
      <c r="C192" s="46" t="s">
        <v>302</v>
      </c>
      <c r="D192" s="47"/>
      <c r="E192" s="47"/>
      <c r="F192" s="48"/>
      <c r="G192" s="46" t="s">
        <v>55</v>
      </c>
      <c r="H192" s="47"/>
      <c r="I192" s="47"/>
      <c r="J192" s="48"/>
      <c r="K192" s="46"/>
      <c r="L192" s="47"/>
      <c r="M192" s="47"/>
      <c r="N192" s="48"/>
      <c r="O192" s="46" t="s">
        <v>229</v>
      </c>
      <c r="P192" s="47"/>
      <c r="Q192" s="48"/>
      <c r="R192" s="49" t="s">
        <v>230</v>
      </c>
      <c r="S192" s="48"/>
      <c r="T192" s="49" t="s">
        <v>230</v>
      </c>
      <c r="U192" s="48"/>
      <c r="V192" s="46"/>
      <c r="W192" s="48"/>
      <c r="X192" s="50"/>
      <c r="Y192" s="51"/>
    </row>
    <row r="193" spans="1:25" ht="30" customHeight="1" x14ac:dyDescent="0.25">
      <c r="A193" s="37">
        <v>2</v>
      </c>
      <c r="B193" s="36" t="s">
        <v>145</v>
      </c>
      <c r="C193" s="46" t="s">
        <v>303</v>
      </c>
      <c r="D193" s="47"/>
      <c r="E193" s="47"/>
      <c r="F193" s="48"/>
      <c r="G193" s="46" t="s">
        <v>55</v>
      </c>
      <c r="H193" s="47"/>
      <c r="I193" s="47"/>
      <c r="J193" s="48"/>
      <c r="K193" s="46"/>
      <c r="L193" s="47"/>
      <c r="M193" s="47"/>
      <c r="N193" s="48"/>
      <c r="O193" s="46" t="s">
        <v>229</v>
      </c>
      <c r="P193" s="47"/>
      <c r="Q193" s="48"/>
      <c r="R193" s="49" t="s">
        <v>230</v>
      </c>
      <c r="S193" s="48"/>
      <c r="T193" s="49" t="s">
        <v>230</v>
      </c>
      <c r="U193" s="48"/>
      <c r="V193" s="46"/>
      <c r="W193" s="48"/>
      <c r="X193" s="50"/>
      <c r="Y193" s="51"/>
    </row>
    <row r="194" spans="1:25" ht="48" customHeight="1" thickBot="1" x14ac:dyDescent="0.3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 spans="1:25" ht="54" customHeight="1" thickTop="1" x14ac:dyDescent="0.25">
      <c r="A195" s="20">
        <f>'Invetario de Tablas'!A31</f>
        <v>28</v>
      </c>
      <c r="B195" s="29" t="s">
        <v>28</v>
      </c>
      <c r="C195" s="54" t="str">
        <f>'Invetario de Tablas'!B31</f>
        <v>cooperativa_financiera</v>
      </c>
      <c r="D195" s="55"/>
      <c r="E195" s="55"/>
      <c r="F195" s="56"/>
      <c r="G195" s="57" t="s">
        <v>29</v>
      </c>
      <c r="H195" s="58"/>
      <c r="I195" s="58"/>
      <c r="J195" s="59"/>
      <c r="K195" s="60" t="str">
        <f>'Invetario de Tablas'!C31</f>
        <v>Tabla intermedia formada por la cardinalidad M:N entre cooperativa y entidad financiera</v>
      </c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2"/>
      <c r="X195" s="21" t="s">
        <v>32</v>
      </c>
      <c r="Y195" s="22"/>
    </row>
    <row r="196" spans="1:25" ht="60" customHeight="1" x14ac:dyDescent="0.25">
      <c r="A196" s="23" t="s">
        <v>1</v>
      </c>
      <c r="B196" s="24" t="s">
        <v>33</v>
      </c>
      <c r="C196" s="63" t="s">
        <v>34</v>
      </c>
      <c r="D196" s="64"/>
      <c r="E196" s="64"/>
      <c r="F196" s="65"/>
      <c r="G196" s="52" t="s">
        <v>45</v>
      </c>
      <c r="H196" s="64"/>
      <c r="I196" s="64"/>
      <c r="J196" s="65"/>
      <c r="K196" s="52" t="s">
        <v>36</v>
      </c>
      <c r="L196" s="64"/>
      <c r="M196" s="64"/>
      <c r="N196" s="65"/>
      <c r="O196" s="52" t="s">
        <v>37</v>
      </c>
      <c r="P196" s="64"/>
      <c r="Q196" s="65"/>
      <c r="R196" s="52" t="s">
        <v>38</v>
      </c>
      <c r="S196" s="65"/>
      <c r="T196" s="52" t="s">
        <v>39</v>
      </c>
      <c r="U196" s="65"/>
      <c r="V196" s="52" t="s">
        <v>40</v>
      </c>
      <c r="W196" s="65"/>
      <c r="X196" s="52" t="s">
        <v>41</v>
      </c>
      <c r="Y196" s="53"/>
    </row>
    <row r="197" spans="1:25" ht="30" customHeight="1" x14ac:dyDescent="0.25">
      <c r="A197" s="37">
        <v>1</v>
      </c>
      <c r="B197" s="36" t="s">
        <v>212</v>
      </c>
      <c r="C197" s="46" t="s">
        <v>304</v>
      </c>
      <c r="D197" s="47"/>
      <c r="E197" s="47"/>
      <c r="F197" s="48"/>
      <c r="G197" s="46" t="s">
        <v>55</v>
      </c>
      <c r="H197" s="47"/>
      <c r="I197" s="47"/>
      <c r="J197" s="48"/>
      <c r="K197" s="46"/>
      <c r="L197" s="47"/>
      <c r="M197" s="47"/>
      <c r="N197" s="48"/>
      <c r="O197" s="46" t="s">
        <v>229</v>
      </c>
      <c r="P197" s="47"/>
      <c r="Q197" s="48"/>
      <c r="R197" s="49" t="s">
        <v>230</v>
      </c>
      <c r="S197" s="48"/>
      <c r="T197" s="49" t="s">
        <v>230</v>
      </c>
      <c r="U197" s="48"/>
      <c r="V197" s="46"/>
      <c r="W197" s="48"/>
      <c r="X197" s="50"/>
      <c r="Y197" s="51"/>
    </row>
    <row r="198" spans="1:25" ht="30" customHeight="1" x14ac:dyDescent="0.25">
      <c r="A198" s="37">
        <v>2</v>
      </c>
      <c r="B198" s="36" t="s">
        <v>201</v>
      </c>
      <c r="C198" s="46" t="s">
        <v>305</v>
      </c>
      <c r="D198" s="47"/>
      <c r="E198" s="47"/>
      <c r="F198" s="48"/>
      <c r="G198" s="46" t="s">
        <v>55</v>
      </c>
      <c r="H198" s="47"/>
      <c r="I198" s="47"/>
      <c r="J198" s="48"/>
      <c r="K198" s="46"/>
      <c r="L198" s="47"/>
      <c r="M198" s="47"/>
      <c r="N198" s="48"/>
      <c r="O198" s="46" t="s">
        <v>229</v>
      </c>
      <c r="P198" s="47"/>
      <c r="Q198" s="48"/>
      <c r="R198" s="49" t="s">
        <v>230</v>
      </c>
      <c r="S198" s="48"/>
      <c r="T198" s="49" t="s">
        <v>230</v>
      </c>
      <c r="U198" s="48"/>
      <c r="V198" s="46"/>
      <c r="W198" s="48"/>
      <c r="X198" s="50"/>
      <c r="Y198" s="51"/>
    </row>
    <row r="199" spans="1:25" ht="48" customHeight="1" thickBot="1" x14ac:dyDescent="0.3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 spans="1:25" ht="54" customHeight="1" thickTop="1" x14ac:dyDescent="0.25">
      <c r="A200" s="20">
        <f>'Invetario de Tablas'!A32</f>
        <v>29</v>
      </c>
      <c r="B200" s="29" t="s">
        <v>28</v>
      </c>
      <c r="C200" s="54" t="str">
        <f>'Invetario de Tablas'!B32</f>
        <v>lote_producto</v>
      </c>
      <c r="D200" s="55"/>
      <c r="E200" s="55"/>
      <c r="F200" s="56"/>
      <c r="G200" s="57" t="s">
        <v>29</v>
      </c>
      <c r="H200" s="58"/>
      <c r="I200" s="58"/>
      <c r="J200" s="59"/>
      <c r="K200" s="60" t="str">
        <f>'Invetario de Tablas'!C32</f>
        <v>Tabla intermedia formada por la cardinalidad M:N entre lote y producto</v>
      </c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2"/>
      <c r="X200" s="21" t="s">
        <v>32</v>
      </c>
      <c r="Y200" s="22"/>
    </row>
    <row r="201" spans="1:25" ht="60" customHeight="1" x14ac:dyDescent="0.25">
      <c r="A201" s="23" t="s">
        <v>1</v>
      </c>
      <c r="B201" s="24" t="s">
        <v>33</v>
      </c>
      <c r="C201" s="63" t="s">
        <v>34</v>
      </c>
      <c r="D201" s="64"/>
      <c r="E201" s="64"/>
      <c r="F201" s="65"/>
      <c r="G201" s="52" t="s">
        <v>45</v>
      </c>
      <c r="H201" s="64"/>
      <c r="I201" s="64"/>
      <c r="J201" s="65"/>
      <c r="K201" s="52" t="s">
        <v>36</v>
      </c>
      <c r="L201" s="64"/>
      <c r="M201" s="64"/>
      <c r="N201" s="65"/>
      <c r="O201" s="52" t="s">
        <v>37</v>
      </c>
      <c r="P201" s="64"/>
      <c r="Q201" s="65"/>
      <c r="R201" s="52" t="s">
        <v>38</v>
      </c>
      <c r="S201" s="65"/>
      <c r="T201" s="52" t="s">
        <v>39</v>
      </c>
      <c r="U201" s="65"/>
      <c r="V201" s="52" t="s">
        <v>40</v>
      </c>
      <c r="W201" s="65"/>
      <c r="X201" s="52" t="s">
        <v>41</v>
      </c>
      <c r="Y201" s="53"/>
    </row>
    <row r="202" spans="1:25" ht="30" customHeight="1" x14ac:dyDescent="0.25">
      <c r="A202" s="37">
        <v>1</v>
      </c>
      <c r="B202" s="36" t="s">
        <v>174</v>
      </c>
      <c r="C202" s="46" t="s">
        <v>306</v>
      </c>
      <c r="D202" s="47"/>
      <c r="E202" s="47"/>
      <c r="F202" s="48"/>
      <c r="G202" s="46" t="s">
        <v>55</v>
      </c>
      <c r="H202" s="47"/>
      <c r="I202" s="47"/>
      <c r="J202" s="48"/>
      <c r="K202" s="46"/>
      <c r="L202" s="47"/>
      <c r="M202" s="47"/>
      <c r="N202" s="48"/>
      <c r="O202" s="46" t="s">
        <v>229</v>
      </c>
      <c r="P202" s="47"/>
      <c r="Q202" s="48"/>
      <c r="R202" s="49" t="s">
        <v>230</v>
      </c>
      <c r="S202" s="48"/>
      <c r="T202" s="49" t="s">
        <v>230</v>
      </c>
      <c r="U202" s="48"/>
      <c r="V202" s="46"/>
      <c r="W202" s="48"/>
      <c r="X202" s="50"/>
      <c r="Y202" s="51"/>
    </row>
    <row r="203" spans="1:25" ht="30" customHeight="1" x14ac:dyDescent="0.25">
      <c r="A203" s="37">
        <v>2</v>
      </c>
      <c r="B203" s="36" t="s">
        <v>159</v>
      </c>
      <c r="C203" s="46" t="s">
        <v>307</v>
      </c>
      <c r="D203" s="47"/>
      <c r="E203" s="47"/>
      <c r="F203" s="48"/>
      <c r="G203" s="46" t="s">
        <v>55</v>
      </c>
      <c r="H203" s="47"/>
      <c r="I203" s="47"/>
      <c r="J203" s="48"/>
      <c r="K203" s="46"/>
      <c r="L203" s="47"/>
      <c r="M203" s="47"/>
      <c r="N203" s="48"/>
      <c r="O203" s="46" t="s">
        <v>229</v>
      </c>
      <c r="P203" s="47"/>
      <c r="Q203" s="48"/>
      <c r="R203" s="49" t="s">
        <v>230</v>
      </c>
      <c r="S203" s="48"/>
      <c r="T203" s="49" t="s">
        <v>230</v>
      </c>
      <c r="U203" s="48"/>
      <c r="V203" s="46"/>
      <c r="W203" s="48"/>
      <c r="X203" s="50"/>
      <c r="Y203" s="51"/>
    </row>
    <row r="204" spans="1:25" ht="48" customHeight="1" x14ac:dyDescent="0.3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 spans="1:25" ht="15.75" customHeight="1" x14ac:dyDescent="0.25"/>
    <row r="206" spans="1:25" ht="15.75" customHeight="1" x14ac:dyDescent="0.25"/>
    <row r="207" spans="1:25" ht="15.75" customHeight="1" x14ac:dyDescent="0.25"/>
    <row r="208" spans="1:25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</sheetData>
  <mergeCells count="1240">
    <mergeCell ref="V203:W203"/>
    <mergeCell ref="X203:Y203"/>
    <mergeCell ref="C203:F203"/>
    <mergeCell ref="G203:J203"/>
    <mergeCell ref="K203:N203"/>
    <mergeCell ref="O203:Q203"/>
    <mergeCell ref="R203:S203"/>
    <mergeCell ref="T203:U203"/>
    <mergeCell ref="X201:Y201"/>
    <mergeCell ref="C202:F202"/>
    <mergeCell ref="G202:J202"/>
    <mergeCell ref="K202:N202"/>
    <mergeCell ref="O202:Q202"/>
    <mergeCell ref="R202:S202"/>
    <mergeCell ref="T202:U202"/>
    <mergeCell ref="V202:W202"/>
    <mergeCell ref="X202:Y202"/>
    <mergeCell ref="C200:F200"/>
    <mergeCell ref="G200:J200"/>
    <mergeCell ref="K200:W200"/>
    <mergeCell ref="C201:F201"/>
    <mergeCell ref="G201:J201"/>
    <mergeCell ref="K201:N201"/>
    <mergeCell ref="O201:Q201"/>
    <mergeCell ref="R201:S201"/>
    <mergeCell ref="T201:U201"/>
    <mergeCell ref="V201:W201"/>
    <mergeCell ref="X197:Y197"/>
    <mergeCell ref="C198:F198"/>
    <mergeCell ref="G198:J198"/>
    <mergeCell ref="K198:N198"/>
    <mergeCell ref="O198:Q198"/>
    <mergeCell ref="R198:S198"/>
    <mergeCell ref="T198:U198"/>
    <mergeCell ref="V198:W198"/>
    <mergeCell ref="X198:Y198"/>
    <mergeCell ref="T196:U196"/>
    <mergeCell ref="V196:W196"/>
    <mergeCell ref="X196:Y196"/>
    <mergeCell ref="C197:F197"/>
    <mergeCell ref="G197:J197"/>
    <mergeCell ref="K197:N197"/>
    <mergeCell ref="O197:Q197"/>
    <mergeCell ref="R197:S197"/>
    <mergeCell ref="T197:U197"/>
    <mergeCell ref="V197:W197"/>
    <mergeCell ref="V193:W193"/>
    <mergeCell ref="X193:Y193"/>
    <mergeCell ref="C195:F195"/>
    <mergeCell ref="G195:J195"/>
    <mergeCell ref="K195:W195"/>
    <mergeCell ref="C196:F196"/>
    <mergeCell ref="G196:J196"/>
    <mergeCell ref="K196:N196"/>
    <mergeCell ref="O196:Q196"/>
    <mergeCell ref="R196:S196"/>
    <mergeCell ref="C193:F193"/>
    <mergeCell ref="G193:J193"/>
    <mergeCell ref="K193:N193"/>
    <mergeCell ref="O193:Q193"/>
    <mergeCell ref="R193:S193"/>
    <mergeCell ref="T193:U193"/>
    <mergeCell ref="X191:Y191"/>
    <mergeCell ref="C192:F192"/>
    <mergeCell ref="G192:J192"/>
    <mergeCell ref="K192:N192"/>
    <mergeCell ref="O192:Q192"/>
    <mergeCell ref="R192:S192"/>
    <mergeCell ref="T192:U192"/>
    <mergeCell ref="V192:W192"/>
    <mergeCell ref="X192:Y192"/>
    <mergeCell ref="C190:F190"/>
    <mergeCell ref="G190:J190"/>
    <mergeCell ref="K190:W190"/>
    <mergeCell ref="C191:F191"/>
    <mergeCell ref="G191:J191"/>
    <mergeCell ref="K191:N191"/>
    <mergeCell ref="O191:Q191"/>
    <mergeCell ref="R191:S191"/>
    <mergeCell ref="T191:U191"/>
    <mergeCell ref="V191:W191"/>
    <mergeCell ref="X187:Y187"/>
    <mergeCell ref="C188:F188"/>
    <mergeCell ref="G188:J188"/>
    <mergeCell ref="K188:N188"/>
    <mergeCell ref="O188:Q188"/>
    <mergeCell ref="R188:S188"/>
    <mergeCell ref="T188:U188"/>
    <mergeCell ref="V188:W188"/>
    <mergeCell ref="X188:Y188"/>
    <mergeCell ref="T186:U186"/>
    <mergeCell ref="V186:W186"/>
    <mergeCell ref="X186:Y186"/>
    <mergeCell ref="C187:F187"/>
    <mergeCell ref="G187:J187"/>
    <mergeCell ref="K187:N187"/>
    <mergeCell ref="O187:Q187"/>
    <mergeCell ref="R187:S187"/>
    <mergeCell ref="T187:U187"/>
    <mergeCell ref="V187:W187"/>
    <mergeCell ref="V183:W183"/>
    <mergeCell ref="X183:Y183"/>
    <mergeCell ref="C185:F185"/>
    <mergeCell ref="G185:J185"/>
    <mergeCell ref="K185:W185"/>
    <mergeCell ref="C186:F186"/>
    <mergeCell ref="G186:J186"/>
    <mergeCell ref="K186:N186"/>
    <mergeCell ref="O186:Q186"/>
    <mergeCell ref="R186:S186"/>
    <mergeCell ref="C183:F183"/>
    <mergeCell ref="G183:J183"/>
    <mergeCell ref="K183:N183"/>
    <mergeCell ref="O183:Q183"/>
    <mergeCell ref="R183:S183"/>
    <mergeCell ref="T183:U183"/>
    <mergeCell ref="X181:Y181"/>
    <mergeCell ref="C182:F182"/>
    <mergeCell ref="G182:J182"/>
    <mergeCell ref="K182:N182"/>
    <mergeCell ref="O182:Q182"/>
    <mergeCell ref="R182:S182"/>
    <mergeCell ref="T182:U182"/>
    <mergeCell ref="V182:W182"/>
    <mergeCell ref="X182:Y182"/>
    <mergeCell ref="C180:F180"/>
    <mergeCell ref="G180:J180"/>
    <mergeCell ref="K180:W180"/>
    <mergeCell ref="C181:F181"/>
    <mergeCell ref="G181:J181"/>
    <mergeCell ref="K181:N181"/>
    <mergeCell ref="O181:Q181"/>
    <mergeCell ref="R181:S181"/>
    <mergeCell ref="T181:U181"/>
    <mergeCell ref="V181:W181"/>
    <mergeCell ref="V177:W177"/>
    <mergeCell ref="X177:Y177"/>
    <mergeCell ref="C178:F178"/>
    <mergeCell ref="G178:J178"/>
    <mergeCell ref="K178:N178"/>
    <mergeCell ref="O178:Q178"/>
    <mergeCell ref="R178:S178"/>
    <mergeCell ref="T178:U178"/>
    <mergeCell ref="V178:W178"/>
    <mergeCell ref="X178:Y178"/>
    <mergeCell ref="C177:F177"/>
    <mergeCell ref="G177:J177"/>
    <mergeCell ref="K177:N177"/>
    <mergeCell ref="O177:Q177"/>
    <mergeCell ref="R177:S177"/>
    <mergeCell ref="T177:U177"/>
    <mergeCell ref="V176:W176"/>
    <mergeCell ref="X176:Y176"/>
    <mergeCell ref="C176:F176"/>
    <mergeCell ref="G176:J176"/>
    <mergeCell ref="K176:N176"/>
    <mergeCell ref="O176:Q176"/>
    <mergeCell ref="R176:S176"/>
    <mergeCell ref="T176:U176"/>
    <mergeCell ref="X174:Y174"/>
    <mergeCell ref="C175:F175"/>
    <mergeCell ref="G175:J175"/>
    <mergeCell ref="K175:N175"/>
    <mergeCell ref="O175:Q175"/>
    <mergeCell ref="R175:S175"/>
    <mergeCell ref="T175:U175"/>
    <mergeCell ref="V175:W175"/>
    <mergeCell ref="X175:Y175"/>
    <mergeCell ref="C173:F173"/>
    <mergeCell ref="G173:J173"/>
    <mergeCell ref="K173:W173"/>
    <mergeCell ref="C174:F174"/>
    <mergeCell ref="G174:J174"/>
    <mergeCell ref="K174:N174"/>
    <mergeCell ref="O174:Q174"/>
    <mergeCell ref="R174:S174"/>
    <mergeCell ref="T174:U174"/>
    <mergeCell ref="V174:W174"/>
    <mergeCell ref="V170:W170"/>
    <mergeCell ref="X170:Y170"/>
    <mergeCell ref="C171:F171"/>
    <mergeCell ref="G171:J171"/>
    <mergeCell ref="K171:N171"/>
    <mergeCell ref="O171:Q171"/>
    <mergeCell ref="R171:S171"/>
    <mergeCell ref="T171:U171"/>
    <mergeCell ref="V171:W171"/>
    <mergeCell ref="X171:Y171"/>
    <mergeCell ref="C170:F170"/>
    <mergeCell ref="G170:J170"/>
    <mergeCell ref="K170:N170"/>
    <mergeCell ref="O170:Q170"/>
    <mergeCell ref="R170:S170"/>
    <mergeCell ref="T170:U170"/>
    <mergeCell ref="X168:Y168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T167:U167"/>
    <mergeCell ref="V167:W167"/>
    <mergeCell ref="X167:Y167"/>
    <mergeCell ref="C168:F168"/>
    <mergeCell ref="G168:J168"/>
    <mergeCell ref="K168:N168"/>
    <mergeCell ref="O168:Q168"/>
    <mergeCell ref="R168:S168"/>
    <mergeCell ref="T168:U168"/>
    <mergeCell ref="V168:W168"/>
    <mergeCell ref="V164:W164"/>
    <mergeCell ref="X164:Y164"/>
    <mergeCell ref="C166:F166"/>
    <mergeCell ref="G166:J166"/>
    <mergeCell ref="K166:W166"/>
    <mergeCell ref="C167:F167"/>
    <mergeCell ref="G167:J167"/>
    <mergeCell ref="K167:N167"/>
    <mergeCell ref="O167:Q167"/>
    <mergeCell ref="R167:S167"/>
    <mergeCell ref="C164:F164"/>
    <mergeCell ref="G164:J164"/>
    <mergeCell ref="K164:N164"/>
    <mergeCell ref="O164:Q164"/>
    <mergeCell ref="R164:S164"/>
    <mergeCell ref="T164:U164"/>
    <mergeCell ref="V162:W162"/>
    <mergeCell ref="X162:Y162"/>
    <mergeCell ref="C163:F163"/>
    <mergeCell ref="G163:J163"/>
    <mergeCell ref="K163:N163"/>
    <mergeCell ref="O163:Q163"/>
    <mergeCell ref="R163:S163"/>
    <mergeCell ref="T163:U163"/>
    <mergeCell ref="V163:W163"/>
    <mergeCell ref="X163:Y163"/>
    <mergeCell ref="C162:F162"/>
    <mergeCell ref="G162:J162"/>
    <mergeCell ref="K162:N162"/>
    <mergeCell ref="O162:Q162"/>
    <mergeCell ref="R162:S162"/>
    <mergeCell ref="T162:U162"/>
    <mergeCell ref="X160:Y160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T159:U159"/>
    <mergeCell ref="V159:W159"/>
    <mergeCell ref="X159:Y159"/>
    <mergeCell ref="C160:F160"/>
    <mergeCell ref="G160:J160"/>
    <mergeCell ref="K160:N160"/>
    <mergeCell ref="O160:Q160"/>
    <mergeCell ref="R160:S160"/>
    <mergeCell ref="T160:U160"/>
    <mergeCell ref="V160:W160"/>
    <mergeCell ref="V156:W156"/>
    <mergeCell ref="X156:Y156"/>
    <mergeCell ref="C158:F158"/>
    <mergeCell ref="G158:J158"/>
    <mergeCell ref="K158:W158"/>
    <mergeCell ref="C159:F159"/>
    <mergeCell ref="G159:J159"/>
    <mergeCell ref="K159:N159"/>
    <mergeCell ref="O159:Q159"/>
    <mergeCell ref="R159:S159"/>
    <mergeCell ref="C156:F156"/>
    <mergeCell ref="G156:J156"/>
    <mergeCell ref="K156:N156"/>
    <mergeCell ref="O156:Q156"/>
    <mergeCell ref="R156:S156"/>
    <mergeCell ref="T156:U156"/>
    <mergeCell ref="V154:W154"/>
    <mergeCell ref="X154:Y154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4:F154"/>
    <mergeCell ref="G154:J154"/>
    <mergeCell ref="K154:N154"/>
    <mergeCell ref="O154:Q154"/>
    <mergeCell ref="R154:S154"/>
    <mergeCell ref="T154:U154"/>
    <mergeCell ref="X152:Y152"/>
    <mergeCell ref="C153:F153"/>
    <mergeCell ref="G153:J153"/>
    <mergeCell ref="K153:N153"/>
    <mergeCell ref="O153:Q153"/>
    <mergeCell ref="R153:S153"/>
    <mergeCell ref="T153:U153"/>
    <mergeCell ref="V153:W153"/>
    <mergeCell ref="X153:Y153"/>
    <mergeCell ref="T151:U151"/>
    <mergeCell ref="V151:W151"/>
    <mergeCell ref="X151:Y151"/>
    <mergeCell ref="C152:F152"/>
    <mergeCell ref="G152:J152"/>
    <mergeCell ref="K152:N152"/>
    <mergeCell ref="O152:Q152"/>
    <mergeCell ref="R152:S152"/>
    <mergeCell ref="T152:U152"/>
    <mergeCell ref="V152:W152"/>
    <mergeCell ref="V148:W148"/>
    <mergeCell ref="X148:Y148"/>
    <mergeCell ref="C150:F150"/>
    <mergeCell ref="G150:J150"/>
    <mergeCell ref="K150:W150"/>
    <mergeCell ref="C151:F151"/>
    <mergeCell ref="G151:J151"/>
    <mergeCell ref="K151:N151"/>
    <mergeCell ref="O151:Q151"/>
    <mergeCell ref="R151:S151"/>
    <mergeCell ref="C148:F148"/>
    <mergeCell ref="G148:J148"/>
    <mergeCell ref="K148:N148"/>
    <mergeCell ref="O148:Q148"/>
    <mergeCell ref="R148:S148"/>
    <mergeCell ref="T148:U148"/>
    <mergeCell ref="V146:W146"/>
    <mergeCell ref="X146:Y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46:F146"/>
    <mergeCell ref="G146:J146"/>
    <mergeCell ref="K146:N146"/>
    <mergeCell ref="O146:Q146"/>
    <mergeCell ref="R146:S146"/>
    <mergeCell ref="T146:U146"/>
    <mergeCell ref="X144:Y144"/>
    <mergeCell ref="C145:F145"/>
    <mergeCell ref="G145:J145"/>
    <mergeCell ref="K145:N145"/>
    <mergeCell ref="O145:Q145"/>
    <mergeCell ref="R145:S145"/>
    <mergeCell ref="T145:U145"/>
    <mergeCell ref="V145:W145"/>
    <mergeCell ref="X145:Y145"/>
    <mergeCell ref="T143:U143"/>
    <mergeCell ref="V143:W143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V140:W140"/>
    <mergeCell ref="X140:Y140"/>
    <mergeCell ref="C142:F142"/>
    <mergeCell ref="G142:J142"/>
    <mergeCell ref="K142:W142"/>
    <mergeCell ref="C143:F143"/>
    <mergeCell ref="G143:J143"/>
    <mergeCell ref="K143:N143"/>
    <mergeCell ref="O143:Q143"/>
    <mergeCell ref="R143:S143"/>
    <mergeCell ref="C140:F140"/>
    <mergeCell ref="G140:J140"/>
    <mergeCell ref="K140:N140"/>
    <mergeCell ref="O140:Q140"/>
    <mergeCell ref="R140:S140"/>
    <mergeCell ref="T140:U140"/>
    <mergeCell ref="V138:W138"/>
    <mergeCell ref="X138:Y138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38:F138"/>
    <mergeCell ref="G138:J138"/>
    <mergeCell ref="K138:N138"/>
    <mergeCell ref="O138:Q138"/>
    <mergeCell ref="R138:S138"/>
    <mergeCell ref="T138:U138"/>
    <mergeCell ref="X136:Y136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T135:U135"/>
    <mergeCell ref="V135:W135"/>
    <mergeCell ref="X135:Y135"/>
    <mergeCell ref="C136:F136"/>
    <mergeCell ref="G136:J136"/>
    <mergeCell ref="K136:N136"/>
    <mergeCell ref="O136:Q136"/>
    <mergeCell ref="R136:S136"/>
    <mergeCell ref="T136:U136"/>
    <mergeCell ref="V136:W136"/>
    <mergeCell ref="V132:W132"/>
    <mergeCell ref="X132:Y132"/>
    <mergeCell ref="C134:F134"/>
    <mergeCell ref="G134:J134"/>
    <mergeCell ref="K134:W134"/>
    <mergeCell ref="C135:F135"/>
    <mergeCell ref="G135:J135"/>
    <mergeCell ref="K135:N135"/>
    <mergeCell ref="O135:Q135"/>
    <mergeCell ref="R135:S135"/>
    <mergeCell ref="C132:F132"/>
    <mergeCell ref="G132:J132"/>
    <mergeCell ref="K132:N132"/>
    <mergeCell ref="O132:Q132"/>
    <mergeCell ref="R132:S132"/>
    <mergeCell ref="T132:U132"/>
    <mergeCell ref="V130:W130"/>
    <mergeCell ref="X130:Y130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30:F130"/>
    <mergeCell ref="G130:J130"/>
    <mergeCell ref="K130:N130"/>
    <mergeCell ref="O130:Q130"/>
    <mergeCell ref="R130:S130"/>
    <mergeCell ref="T130:U130"/>
    <mergeCell ref="X128:Y128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27:F127"/>
    <mergeCell ref="G127:J127"/>
    <mergeCell ref="K127:W127"/>
    <mergeCell ref="C128:F128"/>
    <mergeCell ref="G128:J128"/>
    <mergeCell ref="K128:N128"/>
    <mergeCell ref="O128:Q128"/>
    <mergeCell ref="R128:S128"/>
    <mergeCell ref="T128:U128"/>
    <mergeCell ref="V128:W128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4:F124"/>
    <mergeCell ref="G124:J124"/>
    <mergeCell ref="K124:N124"/>
    <mergeCell ref="O124:Q124"/>
    <mergeCell ref="R124:S124"/>
    <mergeCell ref="T124:U124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T121:U121"/>
    <mergeCell ref="V121:W121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V118:W118"/>
    <mergeCell ref="X118:Y118"/>
    <mergeCell ref="C120:F120"/>
    <mergeCell ref="G120:J120"/>
    <mergeCell ref="K120:W120"/>
    <mergeCell ref="C121:F121"/>
    <mergeCell ref="G121:J121"/>
    <mergeCell ref="K121:N121"/>
    <mergeCell ref="O121:Q121"/>
    <mergeCell ref="R121:S121"/>
    <mergeCell ref="C118:F118"/>
    <mergeCell ref="G118:J118"/>
    <mergeCell ref="K118:N118"/>
    <mergeCell ref="O118:Q118"/>
    <mergeCell ref="R118:S118"/>
    <mergeCell ref="T118:U118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6:F116"/>
    <mergeCell ref="G116:J116"/>
    <mergeCell ref="K116:N116"/>
    <mergeCell ref="O116:Q116"/>
    <mergeCell ref="R116:S116"/>
    <mergeCell ref="T116:U116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V110:W110"/>
    <mergeCell ref="X110:Y110"/>
    <mergeCell ref="C112:F112"/>
    <mergeCell ref="G112:J112"/>
    <mergeCell ref="K112:W112"/>
    <mergeCell ref="C113:F113"/>
    <mergeCell ref="G113:J113"/>
    <mergeCell ref="K113:N113"/>
    <mergeCell ref="O113:Q113"/>
    <mergeCell ref="R113:S113"/>
    <mergeCell ref="C110:F110"/>
    <mergeCell ref="G110:J110"/>
    <mergeCell ref="K110:N110"/>
    <mergeCell ref="O110:Q110"/>
    <mergeCell ref="R110:S110"/>
    <mergeCell ref="T110:U110"/>
    <mergeCell ref="V108:W108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08:F108"/>
    <mergeCell ref="G108:J108"/>
    <mergeCell ref="K108:N108"/>
    <mergeCell ref="O108:Q108"/>
    <mergeCell ref="R108:S108"/>
    <mergeCell ref="T108:U108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V102:W102"/>
    <mergeCell ref="X102:Y102"/>
    <mergeCell ref="C104:F104"/>
    <mergeCell ref="G104:J104"/>
    <mergeCell ref="K104:W104"/>
    <mergeCell ref="C105:F105"/>
    <mergeCell ref="G105:J105"/>
    <mergeCell ref="K105:N105"/>
    <mergeCell ref="O105:Q105"/>
    <mergeCell ref="R105:S105"/>
    <mergeCell ref="C102:F102"/>
    <mergeCell ref="G102:J102"/>
    <mergeCell ref="K102:N102"/>
    <mergeCell ref="O102:Q102"/>
    <mergeCell ref="R102:S102"/>
    <mergeCell ref="T102:U102"/>
    <mergeCell ref="V100:W100"/>
    <mergeCell ref="X100:Y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100:F100"/>
    <mergeCell ref="G100:J100"/>
    <mergeCell ref="K100:N100"/>
    <mergeCell ref="O100:Q100"/>
    <mergeCell ref="R100:S100"/>
    <mergeCell ref="T100:U100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T97:U97"/>
    <mergeCell ref="V97:W97"/>
    <mergeCell ref="X97:Y97"/>
    <mergeCell ref="C98:F98"/>
    <mergeCell ref="G98:J98"/>
    <mergeCell ref="K98:N98"/>
    <mergeCell ref="O98:Q98"/>
    <mergeCell ref="R98:S98"/>
    <mergeCell ref="T98:U98"/>
    <mergeCell ref="V98:W98"/>
    <mergeCell ref="V94:W94"/>
    <mergeCell ref="X94:Y94"/>
    <mergeCell ref="C96:F96"/>
    <mergeCell ref="G96:J96"/>
    <mergeCell ref="K96:W96"/>
    <mergeCell ref="C97:F97"/>
    <mergeCell ref="G97:J97"/>
    <mergeCell ref="K97:N97"/>
    <mergeCell ref="O97:Q97"/>
    <mergeCell ref="R97:S97"/>
    <mergeCell ref="C94:F94"/>
    <mergeCell ref="G94:J94"/>
    <mergeCell ref="K94:N94"/>
    <mergeCell ref="O94:Q94"/>
    <mergeCell ref="R94:S94"/>
    <mergeCell ref="T94:U94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2:F92"/>
    <mergeCell ref="G92:J92"/>
    <mergeCell ref="K92:N92"/>
    <mergeCell ref="O92:Q92"/>
    <mergeCell ref="R92:S92"/>
    <mergeCell ref="T92:U92"/>
    <mergeCell ref="V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90:F90"/>
    <mergeCell ref="G90:J90"/>
    <mergeCell ref="K90:N90"/>
    <mergeCell ref="O90:Q90"/>
    <mergeCell ref="R90:S90"/>
    <mergeCell ref="T90:U90"/>
    <mergeCell ref="X88:Y88"/>
    <mergeCell ref="C89:F89"/>
    <mergeCell ref="G89:J89"/>
    <mergeCell ref="K89:N89"/>
    <mergeCell ref="O89:Q89"/>
    <mergeCell ref="R89:S89"/>
    <mergeCell ref="T89:U89"/>
    <mergeCell ref="V89:W89"/>
    <mergeCell ref="X89:Y89"/>
    <mergeCell ref="C87:F87"/>
    <mergeCell ref="G87:J87"/>
    <mergeCell ref="K87:W87"/>
    <mergeCell ref="C88:F88"/>
    <mergeCell ref="G88:J88"/>
    <mergeCell ref="K88:N88"/>
    <mergeCell ref="O88:Q88"/>
    <mergeCell ref="R88:S88"/>
    <mergeCell ref="T88:U88"/>
    <mergeCell ref="V88:W88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84:F84"/>
    <mergeCell ref="G84:J84"/>
    <mergeCell ref="K84:N84"/>
    <mergeCell ref="O84:Q84"/>
    <mergeCell ref="R84:S84"/>
    <mergeCell ref="T84:U84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82:F82"/>
    <mergeCell ref="G82:J82"/>
    <mergeCell ref="K82:N82"/>
    <mergeCell ref="O82:Q82"/>
    <mergeCell ref="R82:S82"/>
    <mergeCell ref="T82:U82"/>
    <mergeCell ref="X80:Y80"/>
    <mergeCell ref="C81:F81"/>
    <mergeCell ref="G81:J81"/>
    <mergeCell ref="K81:N81"/>
    <mergeCell ref="O81:Q81"/>
    <mergeCell ref="R81:S81"/>
    <mergeCell ref="T81:U81"/>
    <mergeCell ref="V81:W81"/>
    <mergeCell ref="X81:Y81"/>
    <mergeCell ref="C79:F79"/>
    <mergeCell ref="G79:J79"/>
    <mergeCell ref="K79:W79"/>
    <mergeCell ref="C80:F80"/>
    <mergeCell ref="G80:J80"/>
    <mergeCell ref="K80:N80"/>
    <mergeCell ref="O80:Q80"/>
    <mergeCell ref="R80:S80"/>
    <mergeCell ref="T80:U80"/>
    <mergeCell ref="V80:W80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76:F76"/>
    <mergeCell ref="G76:J76"/>
    <mergeCell ref="K76:N76"/>
    <mergeCell ref="O76:Q76"/>
    <mergeCell ref="R76:S76"/>
    <mergeCell ref="T76:U76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4:F74"/>
    <mergeCell ref="G74:J74"/>
    <mergeCell ref="K74:N74"/>
    <mergeCell ref="O74:Q74"/>
    <mergeCell ref="R74:S74"/>
    <mergeCell ref="T74:U74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71:F71"/>
    <mergeCell ref="G71:J71"/>
    <mergeCell ref="K71:W71"/>
    <mergeCell ref="C72:F72"/>
    <mergeCell ref="G72:J72"/>
    <mergeCell ref="K72:N72"/>
    <mergeCell ref="O72:Q72"/>
    <mergeCell ref="R72:S72"/>
    <mergeCell ref="T72:U72"/>
    <mergeCell ref="V72:W72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68:F68"/>
    <mergeCell ref="G68:J68"/>
    <mergeCell ref="K68:N68"/>
    <mergeCell ref="O68:Q68"/>
    <mergeCell ref="R68:S68"/>
    <mergeCell ref="T68:U68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6:F66"/>
    <mergeCell ref="G66:J66"/>
    <mergeCell ref="K66:N66"/>
    <mergeCell ref="O66:Q66"/>
    <mergeCell ref="R66:S66"/>
    <mergeCell ref="T66:U66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63:F63"/>
    <mergeCell ref="G63:J63"/>
    <mergeCell ref="K63:W63"/>
    <mergeCell ref="C64:F64"/>
    <mergeCell ref="G64:J64"/>
    <mergeCell ref="K64:N64"/>
    <mergeCell ref="O64:Q64"/>
    <mergeCell ref="R64:S64"/>
    <mergeCell ref="T64:U64"/>
    <mergeCell ref="V64:W64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0:F60"/>
    <mergeCell ref="G60:J60"/>
    <mergeCell ref="K60:N60"/>
    <mergeCell ref="O60:Q60"/>
    <mergeCell ref="R60:S60"/>
    <mergeCell ref="T60:U60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58:F58"/>
    <mergeCell ref="G58:J58"/>
    <mergeCell ref="K58:N58"/>
    <mergeCell ref="O58:Q58"/>
    <mergeCell ref="R58:S58"/>
    <mergeCell ref="T58:U58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T55:U55"/>
    <mergeCell ref="V55:W55"/>
    <mergeCell ref="X55:Y55"/>
    <mergeCell ref="C56:F56"/>
    <mergeCell ref="G56:J56"/>
    <mergeCell ref="K56:N56"/>
    <mergeCell ref="O56:Q56"/>
    <mergeCell ref="R56:S56"/>
    <mergeCell ref="T56:U56"/>
    <mergeCell ref="V56:W56"/>
    <mergeCell ref="V52:W52"/>
    <mergeCell ref="X52:Y52"/>
    <mergeCell ref="C54:F54"/>
    <mergeCell ref="G54:J54"/>
    <mergeCell ref="K54:W54"/>
    <mergeCell ref="C55:F55"/>
    <mergeCell ref="G55:J55"/>
    <mergeCell ref="K55:N55"/>
    <mergeCell ref="O55:Q55"/>
    <mergeCell ref="R55:S55"/>
    <mergeCell ref="C52:F52"/>
    <mergeCell ref="G52:J52"/>
    <mergeCell ref="K52:N52"/>
    <mergeCell ref="O52:Q52"/>
    <mergeCell ref="R52:S52"/>
    <mergeCell ref="T52:U52"/>
    <mergeCell ref="V50:W50"/>
    <mergeCell ref="X50:Y50"/>
    <mergeCell ref="C51:F51"/>
    <mergeCell ref="G51:J51"/>
    <mergeCell ref="K51:N51"/>
    <mergeCell ref="O51:Q51"/>
    <mergeCell ref="R51:S51"/>
    <mergeCell ref="T51:U51"/>
    <mergeCell ref="V51:W51"/>
    <mergeCell ref="X51:Y51"/>
    <mergeCell ref="C50:F50"/>
    <mergeCell ref="G50:J50"/>
    <mergeCell ref="K50:N50"/>
    <mergeCell ref="O50:Q50"/>
    <mergeCell ref="R50:S50"/>
    <mergeCell ref="T50:U50"/>
    <mergeCell ref="X48:Y48"/>
    <mergeCell ref="C49:F49"/>
    <mergeCell ref="G49:J49"/>
    <mergeCell ref="K49:N49"/>
    <mergeCell ref="O49:Q49"/>
    <mergeCell ref="R49:S49"/>
    <mergeCell ref="T49:U49"/>
    <mergeCell ref="V49:W49"/>
    <mergeCell ref="X49:Y49"/>
    <mergeCell ref="T47:U47"/>
    <mergeCell ref="V47:W47"/>
    <mergeCell ref="X47:Y47"/>
    <mergeCell ref="C48:F48"/>
    <mergeCell ref="G48:J48"/>
    <mergeCell ref="K48:N48"/>
    <mergeCell ref="O48:Q48"/>
    <mergeCell ref="R48:S48"/>
    <mergeCell ref="T48:U48"/>
    <mergeCell ref="V48:W48"/>
    <mergeCell ref="V44:W44"/>
    <mergeCell ref="X44:Y44"/>
    <mergeCell ref="C46:F46"/>
    <mergeCell ref="G46:J46"/>
    <mergeCell ref="K46:W46"/>
    <mergeCell ref="C47:F47"/>
    <mergeCell ref="G47:J47"/>
    <mergeCell ref="K47:N47"/>
    <mergeCell ref="O47:Q47"/>
    <mergeCell ref="R47:S47"/>
    <mergeCell ref="C44:F44"/>
    <mergeCell ref="G44:J44"/>
    <mergeCell ref="K44:N44"/>
    <mergeCell ref="O44:Q44"/>
    <mergeCell ref="R44:S44"/>
    <mergeCell ref="T44:U44"/>
    <mergeCell ref="X42:Y42"/>
    <mergeCell ref="C43:F43"/>
    <mergeCell ref="G43:J43"/>
    <mergeCell ref="K43:N43"/>
    <mergeCell ref="O43:Q43"/>
    <mergeCell ref="R43:S43"/>
    <mergeCell ref="T43:U43"/>
    <mergeCell ref="V43:W43"/>
    <mergeCell ref="X43:Y43"/>
    <mergeCell ref="C41:F41"/>
    <mergeCell ref="G41:J41"/>
    <mergeCell ref="K41:W41"/>
    <mergeCell ref="C42:F42"/>
    <mergeCell ref="G42:J42"/>
    <mergeCell ref="K42:N42"/>
    <mergeCell ref="O42:Q42"/>
    <mergeCell ref="R42:S42"/>
    <mergeCell ref="T42:U42"/>
    <mergeCell ref="V42:W42"/>
    <mergeCell ref="V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C38:F38"/>
    <mergeCell ref="G38:J38"/>
    <mergeCell ref="K38:N38"/>
    <mergeCell ref="O38:Q38"/>
    <mergeCell ref="R38:S38"/>
    <mergeCell ref="T38:U38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35:F35"/>
    <mergeCell ref="G35:J35"/>
    <mergeCell ref="K35:W35"/>
    <mergeCell ref="C36:F36"/>
    <mergeCell ref="G36:J36"/>
    <mergeCell ref="K36:N36"/>
    <mergeCell ref="O36:Q36"/>
    <mergeCell ref="R36:S36"/>
    <mergeCell ref="T36:U36"/>
    <mergeCell ref="V36:W36"/>
    <mergeCell ref="V32:W32"/>
    <mergeCell ref="X32:Y32"/>
    <mergeCell ref="C33:F33"/>
    <mergeCell ref="G33:J33"/>
    <mergeCell ref="K33:N33"/>
    <mergeCell ref="O33:Q33"/>
    <mergeCell ref="R33:S33"/>
    <mergeCell ref="T33:U33"/>
    <mergeCell ref="V33:W33"/>
    <mergeCell ref="X33:Y33"/>
    <mergeCell ref="C32:F32"/>
    <mergeCell ref="G32:J32"/>
    <mergeCell ref="K32:N32"/>
    <mergeCell ref="O32:Q32"/>
    <mergeCell ref="R32:S32"/>
    <mergeCell ref="T32:U32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C29:F29"/>
    <mergeCell ref="G29:J29"/>
    <mergeCell ref="K29:W29"/>
    <mergeCell ref="C30:F30"/>
    <mergeCell ref="G30:J30"/>
    <mergeCell ref="K30:N30"/>
    <mergeCell ref="O30:Q30"/>
    <mergeCell ref="R30:S30"/>
    <mergeCell ref="T30:U30"/>
    <mergeCell ref="V30:W30"/>
    <mergeCell ref="V26:W26"/>
    <mergeCell ref="X26:Y26"/>
    <mergeCell ref="C27:F27"/>
    <mergeCell ref="G27:J27"/>
    <mergeCell ref="K27:N27"/>
    <mergeCell ref="O27:Q27"/>
    <mergeCell ref="R27:S27"/>
    <mergeCell ref="T27:U27"/>
    <mergeCell ref="V27:W27"/>
    <mergeCell ref="X27:Y27"/>
    <mergeCell ref="C26:F26"/>
    <mergeCell ref="G26:J26"/>
    <mergeCell ref="K26:N26"/>
    <mergeCell ref="O26:Q26"/>
    <mergeCell ref="R26:S26"/>
    <mergeCell ref="T26:U26"/>
    <mergeCell ref="X24:Y24"/>
    <mergeCell ref="C25:F25"/>
    <mergeCell ref="G25:J25"/>
    <mergeCell ref="K25:N25"/>
    <mergeCell ref="O25:Q25"/>
    <mergeCell ref="R25:S25"/>
    <mergeCell ref="T25:U25"/>
    <mergeCell ref="V25:W25"/>
    <mergeCell ref="X25:Y25"/>
    <mergeCell ref="C23:F23"/>
    <mergeCell ref="G23:J23"/>
    <mergeCell ref="K23:W23"/>
    <mergeCell ref="C24:F24"/>
    <mergeCell ref="G24:J24"/>
    <mergeCell ref="K24:N24"/>
    <mergeCell ref="O24:Q24"/>
    <mergeCell ref="R24:S24"/>
    <mergeCell ref="T24:U24"/>
    <mergeCell ref="V24:W24"/>
    <mergeCell ref="V20:W20"/>
    <mergeCell ref="X20:Y20"/>
    <mergeCell ref="C21:F21"/>
    <mergeCell ref="G21:J21"/>
    <mergeCell ref="K21:N21"/>
    <mergeCell ref="O21:Q21"/>
    <mergeCell ref="R21:S21"/>
    <mergeCell ref="T21:U21"/>
    <mergeCell ref="V21:W21"/>
    <mergeCell ref="X21:Y21"/>
    <mergeCell ref="C20:F20"/>
    <mergeCell ref="G20:J20"/>
    <mergeCell ref="K20:N20"/>
    <mergeCell ref="O20:Q20"/>
    <mergeCell ref="R20:S20"/>
    <mergeCell ref="T20:U20"/>
    <mergeCell ref="X18:Y18"/>
    <mergeCell ref="C19:F19"/>
    <mergeCell ref="G19:J19"/>
    <mergeCell ref="K19:N19"/>
    <mergeCell ref="O19:Q19"/>
    <mergeCell ref="R19:S19"/>
    <mergeCell ref="T19:U19"/>
    <mergeCell ref="V19:W19"/>
    <mergeCell ref="X19:Y19"/>
    <mergeCell ref="C17:F17"/>
    <mergeCell ref="G17:J17"/>
    <mergeCell ref="K17:W17"/>
    <mergeCell ref="C18:F18"/>
    <mergeCell ref="G18:J18"/>
    <mergeCell ref="K18:N18"/>
    <mergeCell ref="O18:Q18"/>
    <mergeCell ref="R18:S18"/>
    <mergeCell ref="T18:U18"/>
    <mergeCell ref="V18:W18"/>
    <mergeCell ref="V14:W14"/>
    <mergeCell ref="X14:Y14"/>
    <mergeCell ref="C15:F15"/>
    <mergeCell ref="G15:J15"/>
    <mergeCell ref="K15:N15"/>
    <mergeCell ref="O15:Q15"/>
    <mergeCell ref="R15:S15"/>
    <mergeCell ref="T15:U15"/>
    <mergeCell ref="V15:W15"/>
    <mergeCell ref="X15:Y15"/>
    <mergeCell ref="C14:F14"/>
    <mergeCell ref="G14:J14"/>
    <mergeCell ref="K14:N14"/>
    <mergeCell ref="O14:Q14"/>
    <mergeCell ref="R14:S14"/>
    <mergeCell ref="T14:U14"/>
    <mergeCell ref="X12:Y12"/>
    <mergeCell ref="C13:F13"/>
    <mergeCell ref="G13:J13"/>
    <mergeCell ref="K13:N13"/>
    <mergeCell ref="O13:Q13"/>
    <mergeCell ref="R13:S13"/>
    <mergeCell ref="T13:U13"/>
    <mergeCell ref="V13:W13"/>
    <mergeCell ref="X13:Y13"/>
    <mergeCell ref="C11:F11"/>
    <mergeCell ref="G11:J11"/>
    <mergeCell ref="K11:W11"/>
    <mergeCell ref="C12:F12"/>
    <mergeCell ref="G12:J12"/>
    <mergeCell ref="K12:N12"/>
    <mergeCell ref="O12:Q12"/>
    <mergeCell ref="R12:S12"/>
    <mergeCell ref="T12:U12"/>
    <mergeCell ref="V12:W12"/>
    <mergeCell ref="V8:W8"/>
    <mergeCell ref="X8:Y8"/>
    <mergeCell ref="C9:F9"/>
    <mergeCell ref="G9:J9"/>
    <mergeCell ref="K9:N9"/>
    <mergeCell ref="O9:Q9"/>
    <mergeCell ref="R9:S9"/>
    <mergeCell ref="T9:U9"/>
    <mergeCell ref="V9:W9"/>
    <mergeCell ref="X9:Y9"/>
    <mergeCell ref="C8:F8"/>
    <mergeCell ref="G8:J8"/>
    <mergeCell ref="K8:N8"/>
    <mergeCell ref="O8:Q8"/>
    <mergeCell ref="R8:S8"/>
    <mergeCell ref="T8:U8"/>
    <mergeCell ref="V6:W6"/>
    <mergeCell ref="X6:Y6"/>
    <mergeCell ref="C7:F7"/>
    <mergeCell ref="G7:J7"/>
    <mergeCell ref="K7:N7"/>
    <mergeCell ref="O7:Q7"/>
    <mergeCell ref="R7:S7"/>
    <mergeCell ref="T7:U7"/>
    <mergeCell ref="V7:W7"/>
    <mergeCell ref="X7:Y7"/>
    <mergeCell ref="C6:F6"/>
    <mergeCell ref="G6:J6"/>
    <mergeCell ref="K6:N6"/>
    <mergeCell ref="O6:Q6"/>
    <mergeCell ref="R6:S6"/>
    <mergeCell ref="T6:U6"/>
    <mergeCell ref="V4:W4"/>
    <mergeCell ref="X4:Y4"/>
    <mergeCell ref="C5:F5"/>
    <mergeCell ref="G5:J5"/>
    <mergeCell ref="K5:N5"/>
    <mergeCell ref="O5:Q5"/>
    <mergeCell ref="R5:S5"/>
    <mergeCell ref="T5:U5"/>
    <mergeCell ref="V5:W5"/>
    <mergeCell ref="X5:Y5"/>
    <mergeCell ref="A1:Y1"/>
    <mergeCell ref="C3:F3"/>
    <mergeCell ref="G3:J3"/>
    <mergeCell ref="K3:W3"/>
    <mergeCell ref="C4:F4"/>
    <mergeCell ref="G4:J4"/>
    <mergeCell ref="K4:N4"/>
    <mergeCell ref="O4:Q4"/>
    <mergeCell ref="R4:S4"/>
    <mergeCell ref="T4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Diagrama ER (corregido)</vt:lpstr>
      <vt:lpstr>Tipos de Dato</vt:lpstr>
      <vt:lpstr>Invetario de Tablas</vt:lpstr>
      <vt:lpstr>Diccionario Datos - PostgreSQL</vt:lpstr>
      <vt:lpstr>Diccionario Datos - MySQL</vt:lpstr>
      <vt:lpstr>Diccionario Datos - MS SQL Serv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Adel Angel Ramos Chamorro</cp:lastModifiedBy>
  <dcterms:modified xsi:type="dcterms:W3CDTF">2026-04-17T04:02:12Z</dcterms:modified>
</cp:coreProperties>
</file>